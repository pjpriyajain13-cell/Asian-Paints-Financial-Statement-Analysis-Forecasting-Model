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s\Downloads\"/>
    </mc:Choice>
  </mc:AlternateContent>
  <xr:revisionPtr revIDLastSave="0" documentId="13_ncr:1_{3E52895F-8F1C-4718-B307-E35519F19A8A}" xr6:coauthVersionLast="47" xr6:coauthVersionMax="47" xr10:uidLastSave="{00000000-0000-0000-0000-000000000000}"/>
  <bookViews>
    <workbookView xWindow="-108" yWindow="-108" windowWidth="23256" windowHeight="13176" xr2:uid="{281EFAEB-F10F-4244-90C3-835E323005D2}"/>
  </bookViews>
  <sheets>
    <sheet name="Data Sheet" sheetId="1" r:id="rId1"/>
    <sheet name="Data&gt;" sheetId="3" r:id="rId2"/>
    <sheet name="Historical FS" sheetId="2" r:id="rId3"/>
    <sheet name="Ratio analysis" sheetId="6" r:id="rId4"/>
    <sheet name="Common Size Statement" sheetId="5" r:id="rId5"/>
    <sheet name="5 Year Forecasting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7" l="1"/>
  <c r="E7" i="7"/>
  <c r="E8" i="7"/>
  <c r="E11" i="7"/>
  <c r="E13" i="7"/>
  <c r="L2" i="7"/>
  <c r="G2" i="7"/>
  <c r="B2" i="7"/>
  <c r="C28" i="6"/>
  <c r="D28" i="6"/>
  <c r="E28" i="6"/>
  <c r="F28" i="6"/>
  <c r="G28" i="6"/>
  <c r="H28" i="6"/>
  <c r="I28" i="6"/>
  <c r="J28" i="6"/>
  <c r="K28" i="6"/>
  <c r="L28" i="6"/>
  <c r="C29" i="6"/>
  <c r="D29" i="6"/>
  <c r="E29" i="6"/>
  <c r="F29" i="6"/>
  <c r="G29" i="6"/>
  <c r="H29" i="6"/>
  <c r="I29" i="6"/>
  <c r="J29" i="6"/>
  <c r="K29" i="6"/>
  <c r="L29" i="6"/>
  <c r="M29" i="6"/>
  <c r="C24" i="5"/>
  <c r="D24" i="5"/>
  <c r="E24" i="5"/>
  <c r="F24" i="5"/>
  <c r="G24" i="5"/>
  <c r="H24" i="5"/>
  <c r="I24" i="5"/>
  <c r="J24" i="5"/>
  <c r="K24" i="5"/>
  <c r="L24" i="5"/>
  <c r="C39" i="2"/>
  <c r="D39" i="2"/>
  <c r="E39" i="2"/>
  <c r="F39" i="2"/>
  <c r="G39" i="2"/>
  <c r="H39" i="2"/>
  <c r="I39" i="2"/>
  <c r="J39" i="2"/>
  <c r="K39" i="2"/>
  <c r="L39" i="2"/>
  <c r="C38" i="5"/>
  <c r="D38" i="5"/>
  <c r="E38" i="5"/>
  <c r="F38" i="5"/>
  <c r="G38" i="5"/>
  <c r="H38" i="5"/>
  <c r="I38" i="5"/>
  <c r="J38" i="5"/>
  <c r="K38" i="5"/>
  <c r="L38" i="5"/>
  <c r="C39" i="5"/>
  <c r="D39" i="5"/>
  <c r="E39" i="5"/>
  <c r="F39" i="5"/>
  <c r="G39" i="5"/>
  <c r="H39" i="5"/>
  <c r="I39" i="5"/>
  <c r="J39" i="5"/>
  <c r="K39" i="5"/>
  <c r="L39" i="5"/>
  <c r="C40" i="5"/>
  <c r="D40" i="5"/>
  <c r="E40" i="5"/>
  <c r="F40" i="5"/>
  <c r="G40" i="5"/>
  <c r="H40" i="5"/>
  <c r="I40" i="5"/>
  <c r="J40" i="5"/>
  <c r="K40" i="5"/>
  <c r="L40" i="5"/>
  <c r="C41" i="5"/>
  <c r="D41" i="5"/>
  <c r="E41" i="5"/>
  <c r="F41" i="5"/>
  <c r="G41" i="5"/>
  <c r="H41" i="5"/>
  <c r="I41" i="5"/>
  <c r="J41" i="5"/>
  <c r="K41" i="5"/>
  <c r="L41" i="5"/>
  <c r="C32" i="5"/>
  <c r="D32" i="5"/>
  <c r="E32" i="5"/>
  <c r="F32" i="5"/>
  <c r="G32" i="5"/>
  <c r="H32" i="5"/>
  <c r="I32" i="5"/>
  <c r="J32" i="5"/>
  <c r="K32" i="5"/>
  <c r="L32" i="5"/>
  <c r="C33" i="5"/>
  <c r="D33" i="5"/>
  <c r="E33" i="5"/>
  <c r="F33" i="5"/>
  <c r="G33" i="5"/>
  <c r="H33" i="5"/>
  <c r="I33" i="5"/>
  <c r="J33" i="5"/>
  <c r="K33" i="5"/>
  <c r="L33" i="5"/>
  <c r="C34" i="5"/>
  <c r="D34" i="5"/>
  <c r="E34" i="5"/>
  <c r="F34" i="5"/>
  <c r="G34" i="5"/>
  <c r="H34" i="5"/>
  <c r="I34" i="5"/>
  <c r="J34" i="5"/>
  <c r="K34" i="5"/>
  <c r="L34" i="5"/>
  <c r="C35" i="5"/>
  <c r="D35" i="5"/>
  <c r="E35" i="5"/>
  <c r="F35" i="5"/>
  <c r="G35" i="5"/>
  <c r="H35" i="5"/>
  <c r="I35" i="5"/>
  <c r="J35" i="5"/>
  <c r="K35" i="5"/>
  <c r="L35" i="5"/>
  <c r="C36" i="5"/>
  <c r="D36" i="5"/>
  <c r="E36" i="5"/>
  <c r="F36" i="5"/>
  <c r="G36" i="5"/>
  <c r="H36" i="5"/>
  <c r="I36" i="5"/>
  <c r="J36" i="5"/>
  <c r="K36" i="5"/>
  <c r="L36" i="5"/>
  <c r="C26" i="5"/>
  <c r="D26" i="5"/>
  <c r="E26" i="5"/>
  <c r="F26" i="5"/>
  <c r="G26" i="5"/>
  <c r="H26" i="5"/>
  <c r="I26" i="5"/>
  <c r="J26" i="5"/>
  <c r="K26" i="5"/>
  <c r="L26" i="5"/>
  <c r="C27" i="5"/>
  <c r="D27" i="5"/>
  <c r="E27" i="5"/>
  <c r="F27" i="5"/>
  <c r="G27" i="5"/>
  <c r="H27" i="5"/>
  <c r="I27" i="5"/>
  <c r="J27" i="5"/>
  <c r="K27" i="5"/>
  <c r="L27" i="5"/>
  <c r="C28" i="5"/>
  <c r="D28" i="5"/>
  <c r="E28" i="5"/>
  <c r="F28" i="5"/>
  <c r="G28" i="5"/>
  <c r="H28" i="5"/>
  <c r="I28" i="5"/>
  <c r="J28" i="5"/>
  <c r="K28" i="5"/>
  <c r="L28" i="5"/>
  <c r="C29" i="5"/>
  <c r="D29" i="5"/>
  <c r="E29" i="5"/>
  <c r="F29" i="5"/>
  <c r="G29" i="5"/>
  <c r="H29" i="5"/>
  <c r="I29" i="5"/>
  <c r="J29" i="5"/>
  <c r="K29" i="5"/>
  <c r="L29" i="5"/>
  <c r="F40" i="6"/>
  <c r="J40" i="6"/>
  <c r="C73" i="2"/>
  <c r="D73" i="2"/>
  <c r="E73" i="2"/>
  <c r="F73" i="2"/>
  <c r="G73" i="2"/>
  <c r="H73" i="2"/>
  <c r="I73" i="2"/>
  <c r="J73" i="2"/>
  <c r="K73" i="2"/>
  <c r="L73" i="2"/>
  <c r="C72" i="2"/>
  <c r="D72" i="2"/>
  <c r="E72" i="2"/>
  <c r="F72" i="2"/>
  <c r="G72" i="2"/>
  <c r="H72" i="2"/>
  <c r="I72" i="2"/>
  <c r="J72" i="2"/>
  <c r="K72" i="2"/>
  <c r="L72" i="2"/>
  <c r="C71" i="2"/>
  <c r="C40" i="6" s="1"/>
  <c r="D71" i="2"/>
  <c r="D75" i="2" s="1"/>
  <c r="E71" i="2"/>
  <c r="E40" i="6" s="1"/>
  <c r="F71" i="2"/>
  <c r="G71" i="2"/>
  <c r="G40" i="6" s="1"/>
  <c r="H71" i="2"/>
  <c r="H75" i="2" s="1"/>
  <c r="I71" i="2"/>
  <c r="I40" i="6" s="1"/>
  <c r="J71" i="2"/>
  <c r="K71" i="2"/>
  <c r="K40" i="6" s="1"/>
  <c r="L71" i="2"/>
  <c r="L75" i="2" s="1"/>
  <c r="C21" i="2"/>
  <c r="D21" i="2"/>
  <c r="E21" i="2"/>
  <c r="F21" i="2"/>
  <c r="G21" i="2"/>
  <c r="H21" i="2"/>
  <c r="I21" i="2"/>
  <c r="J21" i="2"/>
  <c r="K21" i="2"/>
  <c r="L21" i="2"/>
  <c r="L9" i="2"/>
  <c r="K9" i="2"/>
  <c r="J9" i="2"/>
  <c r="I9" i="2"/>
  <c r="H9" i="2"/>
  <c r="G9" i="2"/>
  <c r="F9" i="2"/>
  <c r="E9" i="2"/>
  <c r="D9" i="2"/>
  <c r="C9" i="2"/>
  <c r="N14" i="7"/>
  <c r="N15" i="7"/>
  <c r="N16" i="7"/>
  <c r="N17" i="7"/>
  <c r="N18" i="7"/>
  <c r="O6" i="7"/>
  <c r="O8" i="7"/>
  <c r="O10" i="7"/>
  <c r="O12" i="7"/>
  <c r="O13" i="7"/>
  <c r="O11" i="7"/>
  <c r="O9" i="7"/>
  <c r="O7" i="7"/>
  <c r="L6" i="7"/>
  <c r="L7" i="7" s="1"/>
  <c r="L8" i="7" s="1"/>
  <c r="L9" i="7" s="1"/>
  <c r="L10" i="7" s="1"/>
  <c r="L11" i="7" s="1"/>
  <c r="L12" i="7" s="1"/>
  <c r="L13" i="7" s="1"/>
  <c r="L14" i="7" s="1"/>
  <c r="O5" i="7"/>
  <c r="L5" i="7"/>
  <c r="I14" i="7"/>
  <c r="I15" i="7"/>
  <c r="I16" i="7"/>
  <c r="I17" i="7"/>
  <c r="I18" i="7"/>
  <c r="J13" i="7"/>
  <c r="J12" i="7"/>
  <c r="J11" i="7"/>
  <c r="J10" i="7"/>
  <c r="J9" i="7"/>
  <c r="J8" i="7"/>
  <c r="J7" i="7"/>
  <c r="J6" i="7"/>
  <c r="G6" i="7"/>
  <c r="G7" i="7" s="1"/>
  <c r="G8" i="7" s="1"/>
  <c r="G9" i="7" s="1"/>
  <c r="G10" i="7" s="1"/>
  <c r="G11" i="7" s="1"/>
  <c r="G12" i="7" s="1"/>
  <c r="G13" i="7" s="1"/>
  <c r="G14" i="7" s="1"/>
  <c r="J5" i="7"/>
  <c r="G5" i="7"/>
  <c r="E6" i="7"/>
  <c r="E10" i="7"/>
  <c r="E12" i="7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2" i="6"/>
  <c r="L3" i="6"/>
  <c r="K3" i="6"/>
  <c r="J3" i="6"/>
  <c r="I3" i="6"/>
  <c r="H3" i="6"/>
  <c r="G3" i="6"/>
  <c r="F3" i="6"/>
  <c r="E3" i="6"/>
  <c r="D3" i="6"/>
  <c r="C3" i="6"/>
  <c r="B43" i="5"/>
  <c r="B27" i="5"/>
  <c r="B28" i="5"/>
  <c r="B29" i="5"/>
  <c r="B30" i="5"/>
  <c r="B32" i="5"/>
  <c r="B33" i="5"/>
  <c r="B34" i="5"/>
  <c r="B35" i="5"/>
  <c r="B36" i="5"/>
  <c r="B38" i="5"/>
  <c r="B39" i="5"/>
  <c r="B40" i="5"/>
  <c r="B41" i="5"/>
  <c r="B26" i="5"/>
  <c r="B2" i="5"/>
  <c r="B22" i="5"/>
  <c r="C6" i="5"/>
  <c r="D6" i="5"/>
  <c r="E6" i="5"/>
  <c r="F6" i="5"/>
  <c r="G6" i="5"/>
  <c r="H6" i="5"/>
  <c r="I6" i="5"/>
  <c r="J6" i="5"/>
  <c r="K6" i="5"/>
  <c r="L6" i="5"/>
  <c r="C7" i="5"/>
  <c r="D7" i="5"/>
  <c r="E7" i="5"/>
  <c r="F7" i="5"/>
  <c r="G7" i="5"/>
  <c r="H7" i="5"/>
  <c r="I7" i="5"/>
  <c r="J7" i="5"/>
  <c r="K7" i="5"/>
  <c r="L7" i="5"/>
  <c r="C8" i="5"/>
  <c r="D8" i="5"/>
  <c r="E8" i="5"/>
  <c r="F8" i="5"/>
  <c r="G8" i="5"/>
  <c r="H8" i="5"/>
  <c r="I8" i="5"/>
  <c r="J8" i="5"/>
  <c r="K8" i="5"/>
  <c r="L8" i="5"/>
  <c r="C9" i="5"/>
  <c r="D9" i="5"/>
  <c r="E9" i="5"/>
  <c r="F9" i="5"/>
  <c r="G9" i="5"/>
  <c r="H9" i="5"/>
  <c r="I9" i="5"/>
  <c r="J9" i="5"/>
  <c r="K9" i="5"/>
  <c r="L9" i="5"/>
  <c r="C10" i="5"/>
  <c r="D10" i="5"/>
  <c r="E10" i="5"/>
  <c r="F10" i="5"/>
  <c r="G10" i="5"/>
  <c r="H10" i="5"/>
  <c r="I10" i="5"/>
  <c r="J10" i="5"/>
  <c r="K10" i="5"/>
  <c r="L10" i="5"/>
  <c r="C11" i="5"/>
  <c r="D11" i="5"/>
  <c r="E11" i="5"/>
  <c r="F11" i="5"/>
  <c r="G11" i="5"/>
  <c r="H11" i="5"/>
  <c r="I11" i="5"/>
  <c r="J11" i="5"/>
  <c r="K11" i="5"/>
  <c r="L11" i="5"/>
  <c r="C12" i="5"/>
  <c r="D12" i="5"/>
  <c r="E12" i="5"/>
  <c r="F12" i="5"/>
  <c r="G12" i="5"/>
  <c r="H12" i="5"/>
  <c r="I12" i="5"/>
  <c r="J12" i="5"/>
  <c r="K12" i="5"/>
  <c r="L12" i="5"/>
  <c r="C13" i="5"/>
  <c r="D13" i="5"/>
  <c r="E13" i="5"/>
  <c r="F13" i="5"/>
  <c r="G13" i="5"/>
  <c r="H13" i="5"/>
  <c r="I13" i="5"/>
  <c r="J13" i="5"/>
  <c r="K13" i="5"/>
  <c r="L13" i="5"/>
  <c r="C14" i="5"/>
  <c r="D14" i="5"/>
  <c r="E14" i="5"/>
  <c r="F14" i="5"/>
  <c r="G14" i="5"/>
  <c r="H14" i="5"/>
  <c r="I14" i="5"/>
  <c r="J14" i="5"/>
  <c r="K14" i="5"/>
  <c r="L14" i="5"/>
  <c r="C15" i="5"/>
  <c r="D15" i="5"/>
  <c r="E15" i="5"/>
  <c r="F15" i="5"/>
  <c r="G15" i="5"/>
  <c r="H15" i="5"/>
  <c r="I15" i="5"/>
  <c r="J15" i="5"/>
  <c r="K15" i="5"/>
  <c r="L15" i="5"/>
  <c r="C16" i="5"/>
  <c r="D16" i="5"/>
  <c r="E16" i="5"/>
  <c r="F16" i="5"/>
  <c r="G16" i="5"/>
  <c r="H16" i="5"/>
  <c r="I16" i="5"/>
  <c r="J16" i="5"/>
  <c r="K16" i="5"/>
  <c r="L16" i="5"/>
  <c r="C17" i="5"/>
  <c r="D17" i="5"/>
  <c r="E17" i="5"/>
  <c r="F17" i="5"/>
  <c r="G17" i="5"/>
  <c r="H17" i="5"/>
  <c r="I17" i="5"/>
  <c r="J17" i="5"/>
  <c r="K17" i="5"/>
  <c r="L17" i="5"/>
  <c r="C18" i="5"/>
  <c r="D18" i="5"/>
  <c r="E18" i="5"/>
  <c r="F18" i="5"/>
  <c r="G18" i="5"/>
  <c r="H18" i="5"/>
  <c r="I18" i="5"/>
  <c r="J18" i="5"/>
  <c r="K18" i="5"/>
  <c r="L18" i="5"/>
  <c r="C19" i="5"/>
  <c r="D19" i="5"/>
  <c r="E19" i="5"/>
  <c r="F19" i="5"/>
  <c r="G19" i="5"/>
  <c r="H19" i="5"/>
  <c r="I19" i="5"/>
  <c r="J19" i="5"/>
  <c r="K19" i="5"/>
  <c r="L19" i="5"/>
  <c r="C20" i="5"/>
  <c r="D20" i="5"/>
  <c r="E20" i="5"/>
  <c r="F20" i="5"/>
  <c r="G20" i="5"/>
  <c r="H20" i="5"/>
  <c r="I20" i="5"/>
  <c r="J20" i="5"/>
  <c r="K20" i="5"/>
  <c r="L20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6" i="5"/>
  <c r="L4" i="5"/>
  <c r="J4" i="5"/>
  <c r="K4" i="5"/>
  <c r="D4" i="5"/>
  <c r="E4" i="5"/>
  <c r="F4" i="5"/>
  <c r="G4" i="5"/>
  <c r="H4" i="5"/>
  <c r="I4" i="5"/>
  <c r="C4" i="5"/>
  <c r="C38" i="2"/>
  <c r="C44" i="2" s="1"/>
  <c r="D38" i="2"/>
  <c r="D44" i="2" s="1"/>
  <c r="E38" i="2"/>
  <c r="E44" i="2" s="1"/>
  <c r="F38" i="2"/>
  <c r="F44" i="2" s="1"/>
  <c r="G38" i="2"/>
  <c r="G44" i="2" s="1"/>
  <c r="H38" i="2"/>
  <c r="H44" i="2" s="1"/>
  <c r="I38" i="2"/>
  <c r="I44" i="2" s="1"/>
  <c r="J38" i="2"/>
  <c r="J44" i="2" s="1"/>
  <c r="K38" i="2"/>
  <c r="K44" i="2" s="1"/>
  <c r="L38" i="2"/>
  <c r="L44" i="2" s="1"/>
  <c r="C35" i="2"/>
  <c r="D35" i="2"/>
  <c r="E35" i="2"/>
  <c r="F35" i="2"/>
  <c r="G35" i="2"/>
  <c r="H35" i="2"/>
  <c r="I35" i="2"/>
  <c r="J35" i="2"/>
  <c r="K35" i="2"/>
  <c r="L35" i="2"/>
  <c r="C32" i="2"/>
  <c r="D32" i="2"/>
  <c r="E32" i="2"/>
  <c r="F32" i="2"/>
  <c r="G32" i="2"/>
  <c r="H32" i="2"/>
  <c r="I32" i="2"/>
  <c r="J32" i="2"/>
  <c r="K32" i="2"/>
  <c r="L32" i="2"/>
  <c r="C26" i="2"/>
  <c r="D26" i="2"/>
  <c r="E26" i="2"/>
  <c r="F26" i="2"/>
  <c r="G26" i="2"/>
  <c r="H26" i="2"/>
  <c r="I26" i="2"/>
  <c r="J26" i="2"/>
  <c r="K26" i="2"/>
  <c r="L26" i="2"/>
  <c r="C23" i="2"/>
  <c r="D23" i="2"/>
  <c r="E23" i="2"/>
  <c r="F23" i="2"/>
  <c r="G23" i="2"/>
  <c r="H23" i="2"/>
  <c r="I23" i="2"/>
  <c r="J23" i="2"/>
  <c r="K23" i="2"/>
  <c r="L23" i="2"/>
  <c r="C15" i="2"/>
  <c r="D15" i="2"/>
  <c r="E15" i="2"/>
  <c r="F15" i="2"/>
  <c r="G15" i="2"/>
  <c r="H15" i="2"/>
  <c r="I15" i="2"/>
  <c r="J15" i="2"/>
  <c r="K15" i="2"/>
  <c r="L15" i="2"/>
  <c r="C6" i="2"/>
  <c r="D6" i="2"/>
  <c r="E6" i="2"/>
  <c r="F6" i="2"/>
  <c r="F38" i="6" s="1"/>
  <c r="G6" i="2"/>
  <c r="H6" i="2"/>
  <c r="I6" i="2"/>
  <c r="J6" i="2"/>
  <c r="J38" i="6" s="1"/>
  <c r="K6" i="2"/>
  <c r="L6" i="2"/>
  <c r="C3" i="2"/>
  <c r="H4" i="7" s="1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D3" i="2"/>
  <c r="E3" i="2"/>
  <c r="F3" i="2"/>
  <c r="G3" i="2"/>
  <c r="H3" i="2"/>
  <c r="I3" i="2"/>
  <c r="J3" i="2"/>
  <c r="K3" i="2"/>
  <c r="L3" i="2"/>
  <c r="C57" i="2"/>
  <c r="D57" i="2"/>
  <c r="E57" i="2"/>
  <c r="F57" i="2"/>
  <c r="G57" i="2"/>
  <c r="H57" i="2"/>
  <c r="I57" i="2"/>
  <c r="J57" i="2"/>
  <c r="K57" i="2"/>
  <c r="L57" i="2"/>
  <c r="C60" i="2"/>
  <c r="D60" i="2"/>
  <c r="E60" i="2"/>
  <c r="F60" i="2"/>
  <c r="G60" i="2"/>
  <c r="H60" i="2"/>
  <c r="I60" i="2"/>
  <c r="J60" i="2"/>
  <c r="K60" i="2"/>
  <c r="L60" i="2"/>
  <c r="C61" i="2"/>
  <c r="D61" i="2"/>
  <c r="E61" i="2"/>
  <c r="F61" i="2"/>
  <c r="G61" i="2"/>
  <c r="H61" i="2"/>
  <c r="I61" i="2"/>
  <c r="J61" i="2"/>
  <c r="K61" i="2"/>
  <c r="L61" i="2"/>
  <c r="C62" i="2"/>
  <c r="D62" i="2"/>
  <c r="E62" i="2"/>
  <c r="F62" i="2"/>
  <c r="G62" i="2"/>
  <c r="H62" i="2"/>
  <c r="I62" i="2"/>
  <c r="J62" i="2"/>
  <c r="K62" i="2"/>
  <c r="L62" i="2"/>
  <c r="C54" i="2"/>
  <c r="D54" i="2"/>
  <c r="E54" i="2"/>
  <c r="F54" i="2"/>
  <c r="G54" i="2"/>
  <c r="H54" i="2"/>
  <c r="I54" i="2"/>
  <c r="J54" i="2"/>
  <c r="K54" i="2"/>
  <c r="L54" i="2"/>
  <c r="C55" i="2"/>
  <c r="D55" i="2"/>
  <c r="E55" i="2"/>
  <c r="F55" i="2"/>
  <c r="G55" i="2"/>
  <c r="H55" i="2"/>
  <c r="I55" i="2"/>
  <c r="J55" i="2"/>
  <c r="K55" i="2"/>
  <c r="L55" i="2"/>
  <c r="C56" i="2"/>
  <c r="D56" i="2"/>
  <c r="E56" i="2"/>
  <c r="F56" i="2"/>
  <c r="G56" i="2"/>
  <c r="H56" i="2"/>
  <c r="I56" i="2"/>
  <c r="J56" i="2"/>
  <c r="K56" i="2"/>
  <c r="L56" i="2"/>
  <c r="L48" i="2"/>
  <c r="L49" i="2"/>
  <c r="L50" i="2"/>
  <c r="L51" i="2"/>
  <c r="L52" i="2"/>
  <c r="L30" i="5" s="1"/>
  <c r="C48" i="2"/>
  <c r="D48" i="2"/>
  <c r="E48" i="2"/>
  <c r="F48" i="2"/>
  <c r="G48" i="2"/>
  <c r="H48" i="2"/>
  <c r="I48" i="2"/>
  <c r="J48" i="2"/>
  <c r="K48" i="2"/>
  <c r="C49" i="2"/>
  <c r="D49" i="2"/>
  <c r="E49" i="2"/>
  <c r="F49" i="2"/>
  <c r="G49" i="2"/>
  <c r="H49" i="2"/>
  <c r="I49" i="2"/>
  <c r="J49" i="2"/>
  <c r="K49" i="2"/>
  <c r="C50" i="2"/>
  <c r="D50" i="2"/>
  <c r="E50" i="2"/>
  <c r="F50" i="2"/>
  <c r="G50" i="2"/>
  <c r="H50" i="2"/>
  <c r="I50" i="2"/>
  <c r="J50" i="2"/>
  <c r="K50" i="2"/>
  <c r="C51" i="2"/>
  <c r="D51" i="2"/>
  <c r="E51" i="2"/>
  <c r="F51" i="2"/>
  <c r="G51" i="2"/>
  <c r="H51" i="2"/>
  <c r="I51" i="2"/>
  <c r="J51" i="2"/>
  <c r="K51" i="2"/>
  <c r="C52" i="2"/>
  <c r="C30" i="5" s="1"/>
  <c r="D52" i="2"/>
  <c r="D30" i="5" s="1"/>
  <c r="E52" i="2"/>
  <c r="E30" i="5" s="1"/>
  <c r="F52" i="2"/>
  <c r="F30" i="5" s="1"/>
  <c r="G52" i="2"/>
  <c r="G30" i="5" s="1"/>
  <c r="H52" i="2"/>
  <c r="H30" i="5" s="1"/>
  <c r="I52" i="2"/>
  <c r="I30" i="5" s="1"/>
  <c r="J52" i="2"/>
  <c r="J30" i="5" s="1"/>
  <c r="K52" i="2"/>
  <c r="K30" i="5" s="1"/>
  <c r="B2" i="2"/>
  <c r="B6" i="1"/>
  <c r="E1" i="1"/>
  <c r="E9" i="7" l="1"/>
  <c r="J75" i="2"/>
  <c r="I38" i="6"/>
  <c r="E38" i="6"/>
  <c r="I75" i="2"/>
  <c r="E75" i="2"/>
  <c r="K75" i="2"/>
  <c r="G75" i="2"/>
  <c r="C75" i="2"/>
  <c r="L38" i="6"/>
  <c r="H38" i="6"/>
  <c r="D38" i="6"/>
  <c r="L40" i="6"/>
  <c r="H40" i="6"/>
  <c r="D40" i="6"/>
  <c r="F75" i="2"/>
  <c r="K38" i="6"/>
  <c r="G38" i="6"/>
  <c r="C38" i="6"/>
  <c r="L23" i="6"/>
  <c r="H23" i="6"/>
  <c r="D23" i="6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F31" i="6"/>
  <c r="F35" i="6"/>
  <c r="K23" i="6"/>
  <c r="K31" i="6"/>
  <c r="J30" i="6"/>
  <c r="J31" i="6"/>
  <c r="C31" i="6"/>
  <c r="I30" i="6"/>
  <c r="E30" i="6"/>
  <c r="G22" i="6"/>
  <c r="C22" i="6"/>
  <c r="G31" i="6"/>
  <c r="C10" i="2"/>
  <c r="F30" i="6"/>
  <c r="J27" i="6"/>
  <c r="J33" i="6" s="1"/>
  <c r="F27" i="6"/>
  <c r="F33" i="6" s="1"/>
  <c r="L31" i="6"/>
  <c r="H31" i="6"/>
  <c r="D31" i="6"/>
  <c r="J22" i="6"/>
  <c r="F22" i="6"/>
  <c r="J35" i="6"/>
  <c r="L34" i="6"/>
  <c r="H34" i="6"/>
  <c r="D34" i="6"/>
  <c r="L30" i="6"/>
  <c r="H30" i="6"/>
  <c r="D30" i="6"/>
  <c r="I22" i="6"/>
  <c r="E22" i="6"/>
  <c r="K9" i="6"/>
  <c r="F9" i="6"/>
  <c r="K22" i="6"/>
  <c r="G23" i="6"/>
  <c r="C23" i="6"/>
  <c r="I27" i="6"/>
  <c r="I33" i="6" s="1"/>
  <c r="E27" i="6"/>
  <c r="E33" i="6" s="1"/>
  <c r="K34" i="6"/>
  <c r="G34" i="6"/>
  <c r="I35" i="6"/>
  <c r="E35" i="6"/>
  <c r="K30" i="6"/>
  <c r="G30" i="6"/>
  <c r="C30" i="6"/>
  <c r="I31" i="6"/>
  <c r="E31" i="6"/>
  <c r="J23" i="6"/>
  <c r="F23" i="6"/>
  <c r="L27" i="6"/>
  <c r="L33" i="6" s="1"/>
  <c r="H27" i="6"/>
  <c r="H33" i="6" s="1"/>
  <c r="D27" i="6"/>
  <c r="D33" i="6" s="1"/>
  <c r="J34" i="6"/>
  <c r="F34" i="6"/>
  <c r="L35" i="6"/>
  <c r="H35" i="6"/>
  <c r="D35" i="6"/>
  <c r="L9" i="6"/>
  <c r="H9" i="6"/>
  <c r="D9" i="6"/>
  <c r="I23" i="6"/>
  <c r="E23" i="6"/>
  <c r="K27" i="6"/>
  <c r="K33" i="6" s="1"/>
  <c r="G27" i="6"/>
  <c r="G33" i="6" s="1"/>
  <c r="C27" i="6"/>
  <c r="I34" i="6"/>
  <c r="E34" i="6"/>
  <c r="K35" i="6"/>
  <c r="G35" i="6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O14" i="7"/>
  <c r="L15" i="7"/>
  <c r="G15" i="7"/>
  <c r="J14" i="7"/>
  <c r="B18" i="7"/>
  <c r="D18" i="7" s="1"/>
  <c r="D17" i="7"/>
  <c r="E17" i="7" s="1"/>
  <c r="D16" i="7"/>
  <c r="D15" i="7"/>
  <c r="E15" i="7" s="1"/>
  <c r="D14" i="7"/>
  <c r="E14" i="7" s="1"/>
  <c r="L8" i="6"/>
  <c r="H8" i="6"/>
  <c r="D8" i="6"/>
  <c r="I9" i="6"/>
  <c r="E9" i="6"/>
  <c r="K8" i="6"/>
  <c r="G8" i="6"/>
  <c r="J8" i="6"/>
  <c r="F8" i="6"/>
  <c r="G9" i="6"/>
  <c r="L22" i="6"/>
  <c r="H22" i="6"/>
  <c r="D22" i="6"/>
  <c r="F41" i="2"/>
  <c r="I8" i="6"/>
  <c r="E8" i="6"/>
  <c r="J9" i="6"/>
  <c r="J41" i="2"/>
  <c r="J12" i="2"/>
  <c r="J13" i="2" s="1"/>
  <c r="F12" i="2"/>
  <c r="F13" i="2" s="1"/>
  <c r="L63" i="2"/>
  <c r="H63" i="2"/>
  <c r="D63" i="2"/>
  <c r="H58" i="2"/>
  <c r="J63" i="2"/>
  <c r="G58" i="2"/>
  <c r="L58" i="2"/>
  <c r="D58" i="2"/>
  <c r="F63" i="2"/>
  <c r="L36" i="2"/>
  <c r="L15" i="6" s="1"/>
  <c r="H36" i="2"/>
  <c r="H15" i="6" s="1"/>
  <c r="D36" i="2"/>
  <c r="D15" i="6" s="1"/>
  <c r="K58" i="2"/>
  <c r="C58" i="2"/>
  <c r="I63" i="2"/>
  <c r="E63" i="2"/>
  <c r="K63" i="2"/>
  <c r="K65" i="2" s="1"/>
  <c r="K39" i="6" s="1"/>
  <c r="G63" i="2"/>
  <c r="C63" i="2"/>
  <c r="G36" i="2"/>
  <c r="G15" i="6" s="1"/>
  <c r="J58" i="2"/>
  <c r="F58" i="2"/>
  <c r="I58" i="2"/>
  <c r="E58" i="2"/>
  <c r="L10" i="2"/>
  <c r="H10" i="2"/>
  <c r="D10" i="2"/>
  <c r="K16" i="2"/>
  <c r="K17" i="6" s="1"/>
  <c r="G16" i="2"/>
  <c r="G17" i="6" s="1"/>
  <c r="C16" i="2"/>
  <c r="C17" i="6" s="1"/>
  <c r="C41" i="2"/>
  <c r="I12" i="2"/>
  <c r="I13" i="2" s="1"/>
  <c r="E12" i="2"/>
  <c r="E13" i="2" s="1"/>
  <c r="K10" i="2"/>
  <c r="G10" i="2"/>
  <c r="I41" i="2"/>
  <c r="E41" i="2"/>
  <c r="I24" i="2"/>
  <c r="C36" i="2"/>
  <c r="C15" i="6" s="1"/>
  <c r="J10" i="2"/>
  <c r="F10" i="2"/>
  <c r="L24" i="2"/>
  <c r="H24" i="2"/>
  <c r="D24" i="2"/>
  <c r="L27" i="2"/>
  <c r="L18" i="6" s="1"/>
  <c r="H27" i="2"/>
  <c r="H18" i="6" s="1"/>
  <c r="D27" i="2"/>
  <c r="D18" i="6" s="1"/>
  <c r="K41" i="2"/>
  <c r="G41" i="2"/>
  <c r="E24" i="2"/>
  <c r="I27" i="2"/>
  <c r="I18" i="6" s="1"/>
  <c r="E27" i="2"/>
  <c r="E18" i="6" s="1"/>
  <c r="G12" i="2"/>
  <c r="G13" i="2" s="1"/>
  <c r="K36" i="2"/>
  <c r="K15" i="6" s="1"/>
  <c r="K7" i="2"/>
  <c r="K5" i="6" s="1"/>
  <c r="L41" i="2"/>
  <c r="K12" i="2"/>
  <c r="K13" i="2" s="1"/>
  <c r="J36" i="2"/>
  <c r="J15" i="6" s="1"/>
  <c r="F36" i="2"/>
  <c r="F15" i="6" s="1"/>
  <c r="L16" i="2"/>
  <c r="L17" i="6" s="1"/>
  <c r="H16" i="2"/>
  <c r="H17" i="6" s="1"/>
  <c r="D16" i="2"/>
  <c r="D17" i="6" s="1"/>
  <c r="G7" i="2"/>
  <c r="G5" i="6" s="1"/>
  <c r="J16" i="2"/>
  <c r="J17" i="6" s="1"/>
  <c r="F16" i="2"/>
  <c r="F17" i="6" s="1"/>
  <c r="K24" i="2"/>
  <c r="G24" i="2"/>
  <c r="C24" i="2"/>
  <c r="K27" i="2"/>
  <c r="K18" i="6" s="1"/>
  <c r="G27" i="2"/>
  <c r="G18" i="6" s="1"/>
  <c r="C27" i="2"/>
  <c r="C18" i="6" s="1"/>
  <c r="I36" i="2"/>
  <c r="I15" i="6" s="1"/>
  <c r="E36" i="2"/>
  <c r="E15" i="6" s="1"/>
  <c r="H41" i="2"/>
  <c r="D41" i="2"/>
  <c r="J7" i="2"/>
  <c r="J5" i="6" s="1"/>
  <c r="F7" i="2"/>
  <c r="F5" i="6" s="1"/>
  <c r="I10" i="2"/>
  <c r="E10" i="2"/>
  <c r="C12" i="2"/>
  <c r="C13" i="2" s="1"/>
  <c r="I16" i="2"/>
  <c r="I17" i="6" s="1"/>
  <c r="E16" i="2"/>
  <c r="E17" i="6" s="1"/>
  <c r="J24" i="2"/>
  <c r="F24" i="2"/>
  <c r="J27" i="2"/>
  <c r="J18" i="6" s="1"/>
  <c r="F27" i="2"/>
  <c r="F18" i="6" s="1"/>
  <c r="I7" i="2"/>
  <c r="I5" i="6" s="1"/>
  <c r="E7" i="2"/>
  <c r="E5" i="6" s="1"/>
  <c r="L7" i="2"/>
  <c r="L5" i="6" s="1"/>
  <c r="H7" i="2"/>
  <c r="H5" i="6" s="1"/>
  <c r="D7" i="2"/>
  <c r="D5" i="6" s="1"/>
  <c r="L12" i="2"/>
  <c r="L13" i="2" s="1"/>
  <c r="H12" i="2"/>
  <c r="H13" i="2" s="1"/>
  <c r="D12" i="2"/>
  <c r="D13" i="2" s="1"/>
  <c r="K24" i="6" l="1"/>
  <c r="H24" i="6"/>
  <c r="L24" i="6"/>
  <c r="D24" i="6"/>
  <c r="G24" i="6"/>
  <c r="F24" i="6"/>
  <c r="K42" i="2"/>
  <c r="J24" i="6"/>
  <c r="C24" i="6"/>
  <c r="F42" i="2"/>
  <c r="D36" i="6"/>
  <c r="L36" i="6"/>
  <c r="G36" i="6"/>
  <c r="F36" i="6"/>
  <c r="J36" i="6"/>
  <c r="I24" i="6"/>
  <c r="I36" i="6"/>
  <c r="O31" i="6"/>
  <c r="H42" i="2"/>
  <c r="J42" i="2"/>
  <c r="E36" i="6"/>
  <c r="H36" i="6"/>
  <c r="N31" i="6"/>
  <c r="K36" i="6"/>
  <c r="N22" i="6"/>
  <c r="O8" i="6"/>
  <c r="N8" i="6"/>
  <c r="O17" i="6"/>
  <c r="N17" i="6"/>
  <c r="C35" i="6"/>
  <c r="N29" i="6"/>
  <c r="O29" i="6"/>
  <c r="E24" i="6"/>
  <c r="O30" i="6"/>
  <c r="N30" i="6"/>
  <c r="N18" i="6"/>
  <c r="O18" i="6"/>
  <c r="O5" i="6"/>
  <c r="N5" i="6"/>
  <c r="N15" i="6"/>
  <c r="O15" i="6"/>
  <c r="C33" i="6"/>
  <c r="O27" i="6"/>
  <c r="N27" i="6"/>
  <c r="C34" i="6"/>
  <c r="N28" i="6"/>
  <c r="O28" i="6"/>
  <c r="G42" i="2"/>
  <c r="N9" i="6"/>
  <c r="O9" i="6"/>
  <c r="N23" i="6"/>
  <c r="O23" i="6"/>
  <c r="O22" i="6"/>
  <c r="O15" i="7"/>
  <c r="L16" i="7"/>
  <c r="J15" i="7"/>
  <c r="G16" i="7"/>
  <c r="E16" i="7"/>
  <c r="E18" i="7"/>
  <c r="D18" i="2"/>
  <c r="D11" i="6"/>
  <c r="C18" i="2"/>
  <c r="C29" i="2" s="1"/>
  <c r="C11" i="6"/>
  <c r="H18" i="2"/>
  <c r="H29" i="2" s="1"/>
  <c r="H11" i="6"/>
  <c r="K18" i="2"/>
  <c r="K29" i="2" s="1"/>
  <c r="K11" i="6"/>
  <c r="G18" i="2"/>
  <c r="G11" i="6"/>
  <c r="I18" i="2"/>
  <c r="I29" i="2" s="1"/>
  <c r="I11" i="6"/>
  <c r="J18" i="2"/>
  <c r="J29" i="2" s="1"/>
  <c r="J11" i="6"/>
  <c r="E18" i="2"/>
  <c r="E29" i="2" s="1"/>
  <c r="E11" i="6"/>
  <c r="F18" i="2"/>
  <c r="F29" i="2" s="1"/>
  <c r="F11" i="6"/>
  <c r="L18" i="2"/>
  <c r="L29" i="2" s="1"/>
  <c r="L11" i="6"/>
  <c r="E65" i="2"/>
  <c r="G65" i="2"/>
  <c r="G39" i="6" s="1"/>
  <c r="H65" i="2"/>
  <c r="H39" i="6" s="1"/>
  <c r="K67" i="2"/>
  <c r="K43" i="5"/>
  <c r="D65" i="2"/>
  <c r="D39" i="6" s="1"/>
  <c r="L42" i="2"/>
  <c r="F65" i="2"/>
  <c r="J65" i="2"/>
  <c r="J39" i="6" s="1"/>
  <c r="C65" i="2"/>
  <c r="C39" i="6" s="1"/>
  <c r="L65" i="2"/>
  <c r="L39" i="6" s="1"/>
  <c r="D42" i="2"/>
  <c r="I65" i="2"/>
  <c r="I39" i="6" s="1"/>
  <c r="E42" i="2"/>
  <c r="I42" i="2"/>
  <c r="F39" i="6" l="1"/>
  <c r="E39" i="6"/>
  <c r="G13" i="6"/>
  <c r="G19" i="6" s="1"/>
  <c r="G29" i="2"/>
  <c r="D13" i="6"/>
  <c r="D29" i="2"/>
  <c r="D30" i="2" s="1"/>
  <c r="D14" i="6" s="1"/>
  <c r="I30" i="2"/>
  <c r="I14" i="6" s="1"/>
  <c r="I13" i="6"/>
  <c r="I19" i="6" s="1"/>
  <c r="K13" i="6"/>
  <c r="K19" i="6" s="1"/>
  <c r="C33" i="2"/>
  <c r="C13" i="6"/>
  <c r="F13" i="6"/>
  <c r="F19" i="6" s="1"/>
  <c r="L13" i="6"/>
  <c r="J13" i="6"/>
  <c r="J19" i="6" s="1"/>
  <c r="H13" i="6"/>
  <c r="H19" i="6" s="1"/>
  <c r="E30" i="2"/>
  <c r="E14" i="6" s="1"/>
  <c r="E13" i="6"/>
  <c r="E19" i="6" s="1"/>
  <c r="G19" i="2"/>
  <c r="G12" i="6" s="1"/>
  <c r="D19" i="2"/>
  <c r="D12" i="6" s="1"/>
  <c r="N24" i="6"/>
  <c r="K6" i="6"/>
  <c r="O24" i="6"/>
  <c r="N38" i="6"/>
  <c r="N40" i="6"/>
  <c r="O40" i="6"/>
  <c r="E25" i="6"/>
  <c r="O35" i="6"/>
  <c r="N35" i="6"/>
  <c r="E19" i="2"/>
  <c r="E12" i="6" s="1"/>
  <c r="I25" i="6"/>
  <c r="K25" i="6"/>
  <c r="C25" i="6"/>
  <c r="O33" i="6"/>
  <c r="N33" i="6"/>
  <c r="F25" i="6"/>
  <c r="N34" i="6"/>
  <c r="O34" i="6"/>
  <c r="C36" i="6"/>
  <c r="O38" i="6"/>
  <c r="L25" i="6"/>
  <c r="J25" i="6"/>
  <c r="G25" i="6"/>
  <c r="H25" i="6"/>
  <c r="D25" i="6"/>
  <c r="D19" i="6"/>
  <c r="F6" i="6"/>
  <c r="K30" i="2"/>
  <c r="K14" i="6" s="1"/>
  <c r="C19" i="2"/>
  <c r="C12" i="6" s="1"/>
  <c r="F19" i="2"/>
  <c r="F12" i="6" s="1"/>
  <c r="K19" i="2"/>
  <c r="K12" i="6" s="1"/>
  <c r="I6" i="6"/>
  <c r="I19" i="2"/>
  <c r="I12" i="6" s="1"/>
  <c r="O11" i="6"/>
  <c r="N11" i="6"/>
  <c r="O16" i="7"/>
  <c r="L17" i="7"/>
  <c r="G17" i="7"/>
  <c r="J16" i="7"/>
  <c r="L6" i="6"/>
  <c r="L21" i="6"/>
  <c r="L19" i="6"/>
  <c r="J21" i="6"/>
  <c r="G21" i="6"/>
  <c r="H6" i="6"/>
  <c r="H21" i="6"/>
  <c r="D6" i="6"/>
  <c r="D21" i="6"/>
  <c r="L33" i="2"/>
  <c r="H30" i="2"/>
  <c r="H14" i="6" s="1"/>
  <c r="E6" i="6"/>
  <c r="J6" i="6"/>
  <c r="E21" i="6"/>
  <c r="L19" i="2"/>
  <c r="L12" i="6" s="1"/>
  <c r="H19" i="2"/>
  <c r="H12" i="6" s="1"/>
  <c r="G6" i="6"/>
  <c r="J19" i="2"/>
  <c r="J12" i="6" s="1"/>
  <c r="I21" i="6"/>
  <c r="K21" i="6"/>
  <c r="C21" i="6"/>
  <c r="F21" i="6"/>
  <c r="L67" i="2"/>
  <c r="L43" i="5"/>
  <c r="I67" i="2"/>
  <c r="I43" i="5"/>
  <c r="J67" i="2"/>
  <c r="J43" i="5"/>
  <c r="H67" i="2"/>
  <c r="H43" i="5"/>
  <c r="G67" i="2"/>
  <c r="G43" i="5"/>
  <c r="F67" i="2"/>
  <c r="F43" i="5"/>
  <c r="C67" i="2"/>
  <c r="C43" i="5"/>
  <c r="D67" i="2"/>
  <c r="D43" i="5"/>
  <c r="E67" i="2"/>
  <c r="E43" i="5"/>
  <c r="E7" i="6" l="1"/>
  <c r="O25" i="6"/>
  <c r="I33" i="2"/>
  <c r="N25" i="6"/>
  <c r="N39" i="6"/>
  <c r="O39" i="6"/>
  <c r="E33" i="2"/>
  <c r="O36" i="6"/>
  <c r="N36" i="6"/>
  <c r="K33" i="2"/>
  <c r="H7" i="6"/>
  <c r="D33" i="2"/>
  <c r="N12" i="6"/>
  <c r="O12" i="6"/>
  <c r="D7" i="6"/>
  <c r="C19" i="6"/>
  <c r="N13" i="6"/>
  <c r="O13" i="6"/>
  <c r="C30" i="2"/>
  <c r="C14" i="6" s="1"/>
  <c r="O21" i="6"/>
  <c r="N21" i="6"/>
  <c r="N6" i="6"/>
  <c r="O6" i="6"/>
  <c r="L7" i="6"/>
  <c r="L30" i="2"/>
  <c r="L14" i="6" s="1"/>
  <c r="O17" i="7"/>
  <c r="L18" i="7"/>
  <c r="O18" i="7" s="1"/>
  <c r="J17" i="7"/>
  <c r="G18" i="7"/>
  <c r="J18" i="7" s="1"/>
  <c r="F33" i="2"/>
  <c r="F30" i="2"/>
  <c r="F14" i="6" s="1"/>
  <c r="F7" i="6"/>
  <c r="J30" i="2"/>
  <c r="J14" i="6" s="1"/>
  <c r="J33" i="2"/>
  <c r="J7" i="6"/>
  <c r="I7" i="6"/>
  <c r="H33" i="2"/>
  <c r="G7" i="6"/>
  <c r="G30" i="2"/>
  <c r="G14" i="6" s="1"/>
  <c r="G33" i="2"/>
  <c r="K7" i="6"/>
  <c r="O7" i="6" l="1"/>
  <c r="N19" i="6"/>
  <c r="O19" i="6"/>
  <c r="N14" i="6"/>
  <c r="O14" i="6"/>
  <c r="N7" i="6"/>
</calcChain>
</file>

<file path=xl/sharedStrings.xml><?xml version="1.0" encoding="utf-8"?>
<sst xmlns="http://schemas.openxmlformats.org/spreadsheetml/2006/main" count="175" uniqueCount="123">
  <si>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</si>
  <si>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</si>
  <si>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</si>
  <si>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</si>
  <si>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</si>
  <si>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</si>
  <si>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</si>
  <si>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</si>
  <si>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</si>
  <si>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</si>
  <si>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</si>
  <si>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</si>
  <si>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</si>
  <si>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</si>
  <si>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</si>
  <si>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</si>
  <si>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</si>
  <si>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</si>
  <si>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</si>
  <si>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</si>
  <si>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</si>
  <si>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</si>
  <si>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</si>
  <si>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</si>
  <si>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</si>
  <si>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</si>
  <si>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</si>
  <si>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</si>
  <si>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</si>
  <si>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</si>
  <si>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</si>
  <si>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</si>
  <si>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</si>
  <si>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</si>
  <si>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</si>
  <si>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</si>
  <si>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</si>
  <si>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</si>
  <si>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</si>
  <si>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</si>
  <si>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</si>
  <si>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</si>
  <si>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</si>
  <si>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</si>
  <si>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</si>
  <si>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</si>
  <si>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</si>
  <si>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</si>
  <si>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</si>
  <si>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</si>
  <si>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</si>
  <si>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</si>
  <si>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</si>
  <si>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</si>
  <si>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</si>
  <si>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Sales Growth</t>
  </si>
  <si>
    <t>COGS</t>
  </si>
  <si>
    <t>COGS % Sales</t>
  </si>
  <si>
    <t>Gross Profit</t>
  </si>
  <si>
    <t>Selling &amp; General Expenses</t>
  </si>
  <si>
    <t>S&amp;G % Sales</t>
  </si>
  <si>
    <t>EBITDA</t>
  </si>
  <si>
    <t>EBITDA % Margins</t>
  </si>
  <si>
    <t>Depreciation % Sales</t>
  </si>
  <si>
    <t xml:space="preserve">Income Statement </t>
  </si>
  <si>
    <t>#</t>
  </si>
  <si>
    <t>Earning Before Tax</t>
  </si>
  <si>
    <t>EBT % Sales</t>
  </si>
  <si>
    <t>Effective Tax Rate</t>
  </si>
  <si>
    <t>Net Profit</t>
  </si>
  <si>
    <t>Net Margin</t>
  </si>
  <si>
    <t>No. Of Equity Shares</t>
  </si>
  <si>
    <t>Earning Per Share</t>
  </si>
  <si>
    <t>Dividend Per Share</t>
  </si>
  <si>
    <t>EPS Growth %</t>
  </si>
  <si>
    <t>Balance Sheet</t>
  </si>
  <si>
    <t>Total Liabilities</t>
  </si>
  <si>
    <t>Fixed Assets Net Block</t>
  </si>
  <si>
    <t>Total Current Assets</t>
  </si>
  <si>
    <t>Total Assets</t>
  </si>
  <si>
    <t>check</t>
  </si>
  <si>
    <t>Cash Flow Statement</t>
  </si>
  <si>
    <t>Particulars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</si>
  <si>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</si>
  <si>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</si>
  <si>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</si>
  <si>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</si>
  <si>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</si>
  <si>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</si>
  <si>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</si>
  <si>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</si>
  <si>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</si>
  <si>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</si>
  <si>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</si>
  <si>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</si>
  <si>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</si>
  <si>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</si>
  <si>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</si>
  <si>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</si>
  <si>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</si>
  <si>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</si>
  <si>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</si>
  <si>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</si>
  <si>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</si>
  <si>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</si>
  <si>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</si>
  <si>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</si>
  <si>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</si>
  <si>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Retain Earning %</t>
  </si>
  <si>
    <t>Cash Conversion Cycle(in Days)</t>
  </si>
  <si>
    <t>Trend</t>
  </si>
  <si>
    <t>Mean</t>
  </si>
  <si>
    <t>Median</t>
  </si>
  <si>
    <t>-</t>
  </si>
  <si>
    <t>Sales Expenses % Sales</t>
  </si>
  <si>
    <t>Operating Income % Sales</t>
  </si>
  <si>
    <t>Year</t>
  </si>
  <si>
    <t>Year Weight</t>
  </si>
  <si>
    <t>EPS</t>
  </si>
  <si>
    <t>EPS Growth</t>
  </si>
  <si>
    <t xml:space="preserve"> </t>
  </si>
  <si>
    <t>Interest % Sales</t>
  </si>
  <si>
    <t>Total Non Current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</si>
</sst>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[$-409]mmm\-yy;@"/>
    <numFmt numFmtId="165" formatCode="&quot;₹&quot;\ #,##0.0;\ &quot;₹&quot;\ \-#,##0.0\ \,\-"/>
    <numFmt numFmtId="166" formatCode="&quot;₹&quot;\ #,##0.0;&quot;₹&quot;\ \(#,##0.0\)"/>
    <numFmt numFmtId="167" formatCode="_(* #,##0.00_);_(* \(#,##0.00\);_(* &quot;-&quot;??_);_(@_)"/>
    <numFmt numFmtId="168" formatCode="&quot;₹&quot;\ #,##0.0;\ &quot;₹&quot;\ \(#,##0.0\)\ \,\-"/>
    <numFmt numFmtId="169" formatCode="&quot;₹&quot;\ #,##0.0;&quot;₹&quot;\ \(#,##0.0\)\,\ \-"/>
    <numFmt numFmtId="170" formatCode="0.00&quot;x&quot;"/>
    <numFmt numFmtId="171" formatCode="0.0"/>
    <numFmt numFmtId="172" formatCode="\ yyyy\ &quot;A&quot;"/>
    <numFmt numFmtId="173" formatCode="\ yyyy\ &quot;E&quot;"/>
  </numFmts>
  <fonts count="16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i/>
      <sz val="11"/>
      <color theme="1" tint="0.499984740745262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 tint="0.249977111117893"/>
      <name val="Calibri"/>
      <family val="2"/>
    </font>
    <font>
      <sz val="11"/>
      <color rgb="FF002060"/>
      <name val="Calibri"/>
      <family val="2"/>
    </font>
    <font>
      <sz val="11"/>
      <color theme="2" tint="-0.89999084444715716"/>
      <name val="Calibri"/>
      <family val="2"/>
    </font>
    <font>
      <sz val="11"/>
      <color theme="1" tint="4.9989318521683403E-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78">
    <xf numFmtId="0" fontId="0" fillId="0" borderId="0" xfId="0"/>
    <xf numFmtId="43" fontId="4" fillId="0" borderId="0" xfId="2" applyFont="1" applyBorder="1"/>
    <xf numFmtId="43" fontId="3" fillId="0" borderId="0" xfId="2" applyFont="1" applyBorder="1"/>
    <xf numFmtId="164" fontId="5" fillId="5" borderId="0" xfId="2" applyNumberFormat="1" applyFont="1" applyFill="1" applyBorder="1"/>
    <xf numFmtId="0" fontId="1" fillId="6" borderId="0" xfId="0" applyFont="1" applyFill="1"/>
    <xf numFmtId="17" fontId="1" fillId="6" borderId="0" xfId="0" applyNumberFormat="1" applyFont="1" applyFill="1"/>
    <xf numFmtId="0" fontId="8" fillId="0" borderId="0" xfId="0" applyFont="1"/>
    <xf numFmtId="10" fontId="8" fillId="0" borderId="0" xfId="0" applyNumberFormat="1" applyFont="1"/>
    <xf numFmtId="0" fontId="1" fillId="0" borderId="0" xfId="0" applyFont="1"/>
    <xf numFmtId="17" fontId="1" fillId="0" borderId="0" xfId="0" applyNumberFormat="1" applyFont="1"/>
    <xf numFmtId="0" fontId="0" fillId="7" borderId="0" xfId="0" applyFill="1"/>
    <xf numFmtId="0" fontId="2" fillId="7" borderId="0" xfId="0" applyFont="1" applyFill="1"/>
    <xf numFmtId="0" fontId="9" fillId="0" borderId="0" xfId="0" applyFont="1"/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43" fontId="0" fillId="0" borderId="0" xfId="2" applyFont="1" applyBorder="1"/>
    <xf numFmtId="164" fontId="5" fillId="5" borderId="0" xfId="0" applyNumberFormat="1" applyFont="1" applyFill="1" applyAlignment="1">
      <alignment horizontal="center"/>
    </xf>
    <xf numFmtId="164" fontId="10" fillId="0" borderId="0" xfId="2" applyNumberFormat="1" applyFont="1" applyFill="1" applyBorder="1"/>
    <xf numFmtId="167" fontId="0" fillId="0" borderId="0" xfId="2" applyNumberFormat="1" applyFont="1" applyBorder="1"/>
    <xf numFmtId="168" fontId="0" fillId="0" borderId="0" xfId="0" applyNumberFormat="1"/>
    <xf numFmtId="0" fontId="1" fillId="6" borderId="0" xfId="0" applyFont="1" applyFill="1" applyAlignment="1">
      <alignment horizontal="center"/>
    </xf>
    <xf numFmtId="169" fontId="0" fillId="0" borderId="0" xfId="0" applyNumberFormat="1"/>
    <xf numFmtId="0" fontId="2" fillId="0" borderId="1" xfId="0" applyFont="1" applyBorder="1"/>
    <xf numFmtId="17" fontId="2" fillId="0" borderId="1" xfId="0" applyNumberFormat="1" applyFont="1" applyBorder="1"/>
    <xf numFmtId="43" fontId="0" fillId="0" borderId="0" xfId="0" applyNumberFormat="1"/>
    <xf numFmtId="10" fontId="0" fillId="0" borderId="0" xfId="8" applyNumberFormat="1" applyFont="1"/>
    <xf numFmtId="10" fontId="0" fillId="0" borderId="0" xfId="0" applyNumberFormat="1"/>
    <xf numFmtId="0" fontId="2" fillId="0" borderId="2" xfId="0" applyFont="1" applyBorder="1"/>
    <xf numFmtId="166" fontId="2" fillId="0" borderId="2" xfId="0" applyNumberFormat="1" applyFont="1" applyBorder="1"/>
    <xf numFmtId="43" fontId="4" fillId="0" borderId="2" xfId="2" applyFont="1" applyBorder="1"/>
    <xf numFmtId="168" fontId="2" fillId="0" borderId="2" xfId="0" applyNumberFormat="1" applyFont="1" applyBorder="1"/>
    <xf numFmtId="43" fontId="4" fillId="0" borderId="2" xfId="2" applyFont="1" applyFill="1" applyBorder="1"/>
    <xf numFmtId="0" fontId="0" fillId="0" borderId="0" xfId="0" applyAlignment="1">
      <alignment horizontal="left"/>
    </xf>
    <xf numFmtId="170" fontId="0" fillId="0" borderId="0" xfId="0" applyNumberFormat="1"/>
    <xf numFmtId="0" fontId="0" fillId="0" borderId="3" xfId="0" applyBorder="1" applyAlignment="1">
      <alignment horizontal="left"/>
    </xf>
    <xf numFmtId="10" fontId="0" fillId="0" borderId="3" xfId="8" applyNumberFormat="1" applyFont="1" applyBorder="1"/>
    <xf numFmtId="10" fontId="0" fillId="0" borderId="0" xfId="8" applyNumberFormat="1" applyFont="1" applyBorder="1"/>
    <xf numFmtId="0" fontId="0" fillId="0" borderId="4" xfId="0" applyBorder="1" applyAlignment="1">
      <alignment horizontal="left"/>
    </xf>
    <xf numFmtId="10" fontId="0" fillId="0" borderId="4" xfId="8" applyNumberFormat="1" applyFont="1" applyBorder="1"/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170" fontId="0" fillId="0" borderId="4" xfId="0" applyNumberFormat="1" applyBorder="1"/>
    <xf numFmtId="170" fontId="0" fillId="0" borderId="3" xfId="0" applyNumberFormat="1" applyBorder="1"/>
    <xf numFmtId="1" fontId="0" fillId="0" borderId="3" xfId="0" applyNumberFormat="1" applyBorder="1"/>
    <xf numFmtId="1" fontId="0" fillId="0" borderId="0" xfId="0" applyNumberFormat="1"/>
    <xf numFmtId="1" fontId="0" fillId="0" borderId="4" xfId="0" applyNumberFormat="1" applyBorder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3" xfId="0" applyBorder="1"/>
    <xf numFmtId="0" fontId="0" fillId="0" borderId="4" xfId="0" applyBorder="1"/>
    <xf numFmtId="17" fontId="1" fillId="6" borderId="0" xfId="0" applyNumberFormat="1" applyFont="1" applyFill="1" applyAlignment="1">
      <alignment horizontal="center"/>
    </xf>
    <xf numFmtId="10" fontId="0" fillId="0" borderId="3" xfId="8" applyNumberFormat="1" applyFont="1" applyBorder="1" applyAlignment="1">
      <alignment horizontal="center"/>
    </xf>
    <xf numFmtId="10" fontId="0" fillId="0" borderId="0" xfId="8" applyNumberFormat="1" applyFont="1" applyBorder="1" applyAlignment="1">
      <alignment horizontal="center"/>
    </xf>
    <xf numFmtId="10" fontId="0" fillId="0" borderId="4" xfId="8" applyNumberFormat="1" applyFont="1" applyBorder="1" applyAlignment="1">
      <alignment horizontal="center"/>
    </xf>
    <xf numFmtId="43" fontId="2" fillId="0" borderId="2" xfId="0" applyNumberFormat="1" applyFont="1" applyBorder="1"/>
    <xf numFmtId="10" fontId="2" fillId="0" borderId="2" xfId="8" applyNumberFormat="1" applyFont="1" applyBorder="1"/>
    <xf numFmtId="10" fontId="12" fillId="0" borderId="0" xfId="0" applyNumberFormat="1" applyFont="1"/>
    <xf numFmtId="9" fontId="0" fillId="0" borderId="0" xfId="8" applyFont="1"/>
    <xf numFmtId="2" fontId="0" fillId="0" borderId="0" xfId="0" applyNumberFormat="1"/>
    <xf numFmtId="0" fontId="1" fillId="6" borderId="0" xfId="0" applyFont="1" applyFill="1" applyAlignment="1">
      <alignment horizontal="right"/>
    </xf>
    <xf numFmtId="171" fontId="13" fillId="0" borderId="0" xfId="0" applyNumberFormat="1" applyFont="1" applyAlignment="1">
      <alignment horizontal="right"/>
    </xf>
    <xf numFmtId="10" fontId="0" fillId="0" borderId="0" xfId="8" applyNumberFormat="1" applyFont="1" applyAlignment="1">
      <alignment horizontal="right"/>
    </xf>
    <xf numFmtId="0" fontId="14" fillId="0" borderId="0" xfId="0" applyFont="1"/>
    <xf numFmtId="172" fontId="0" fillId="0" borderId="0" xfId="0" applyNumberFormat="1" applyAlignment="1">
      <alignment horizontal="right"/>
    </xf>
    <xf numFmtId="0" fontId="0" fillId="8" borderId="0" xfId="0" applyFill="1" applyAlignment="1">
      <alignment horizontal="left"/>
    </xf>
    <xf numFmtId="173" fontId="0" fillId="8" borderId="0" xfId="0" applyNumberFormat="1" applyFill="1" applyAlignment="1">
      <alignment horizontal="right"/>
    </xf>
    <xf numFmtId="171" fontId="14" fillId="8" borderId="0" xfId="0" applyNumberFormat="1" applyFont="1" applyFill="1" applyAlignment="1">
      <alignment horizontal="right"/>
    </xf>
    <xf numFmtId="10" fontId="0" fillId="8" borderId="0" xfId="8" applyNumberFormat="1" applyFont="1" applyFill="1" applyAlignment="1">
      <alignment horizontal="right"/>
    </xf>
    <xf numFmtId="2" fontId="15" fillId="0" borderId="0" xfId="0" applyNumberFormat="1" applyFont="1"/>
    <xf numFmtId="0" fontId="15" fillId="0" borderId="0" xfId="0" applyFont="1"/>
    <xf numFmtId="166" fontId="2" fillId="0" borderId="0" xfId="0" applyNumberFormat="1" applyFont="1"/>
    <xf numFmtId="166" fontId="0" fillId="0" borderId="2" xfId="0" applyNumberFormat="1" applyBorder="1"/>
    <xf numFmtId="43" fontId="6" fillId="0" borderId="0" xfId="3" applyNumberFormat="1" applyBorder="1" applyAlignment="1" applyProtection="1">
      <alignment horizontal="center"/>
    </xf>
    <xf numFmtId="43" fontId="5" fillId="4" borderId="0" xfId="6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</cellXfs>
  <cellStyles count="9">
    <cellStyle name="60% - Accent1 2" xfId="4" xr:uid="{91A0E956-9953-47EA-B850-CB289817BFC1}"/>
    <cellStyle name="60% - Accent3 2" xfId="5" xr:uid="{5F7BD008-A96F-4078-8664-8AE2515AC173}"/>
    <cellStyle name="Accent6 2" xfId="6" xr:uid="{CE81ADAE-A86B-459C-A613-82E25B250FA3}"/>
    <cellStyle name="Comma 2" xfId="2" xr:uid="{257E4F65-D09B-4D71-AA2D-3BF7471F854A}"/>
    <cellStyle name="Hyperlink" xfId="3" builtinId="8"/>
    <cellStyle name="Normal" xfId="0" builtinId="0"/>
    <cellStyle name="Normal 2" xfId="1" xr:uid="{4EF673A7-BEE1-45ED-915F-576D94D3F3CF}"/>
    <cellStyle name="Percent" xfId="8" builtinId="5"/>
    <cellStyle name="Percent 2" xfId="7" xr:uid="{78D81F52-3989-4CF0-B95C-3D5A1AA51B87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EF8F-4784-447D-A9E6-5E7EA13D3A5C}">
  <sheetPr>
    <tabColor rgb="FFC00000"/>
  </sheetPr>
  <dimension ref="A1:K93"/>
  <sheetViews>
    <sheetView tabSelected="1" zoomScale="79" workbookViewId="0">
      <selection activeCell="A85" sqref="A85"/>
    </sheetView>
  </sheetViews>
  <sheetFormatPr defaultColWidth="8.77734375" defaultRowHeight="14.4" x14ac:dyDescent="0.3"/>
  <cols>
    <col min="1" max="1" width="27.6640625" style="16" bestFit="1" customWidth="1"/>
    <col min="2" max="11" width="13.44140625" style="16" bestFit="1" customWidth="1"/>
    <col min="12" max="16384" width="8.77734375" style="16"/>
  </cols>
  <sheetData>
    <row r="1" spans="1:11" s="1" customFormat="1" x14ac:dyDescent="0.3">
      <c r="A1" s="1" t="s">
        <v>0</v>
      </c>
      <c r="B1" s="1" t="s">
        <v>1</v>
      </c>
      <c r="E1" s="75" t="str">
        <f>IF(B2&lt;&gt;B3, "A NEW VERSION OF THE WORKSHEET IS AVAILABLE", "")</f>
        <v/>
      </c>
      <c r="F1" s="75"/>
      <c r="G1" s="75"/>
      <c r="H1" s="75"/>
      <c r="I1" s="75"/>
      <c r="J1" s="75"/>
      <c r="K1" s="75"/>
    </row>
    <row r="2" spans="1:11" x14ac:dyDescent="0.3">
      <c r="A2" s="1" t="s">
        <v>2</v>
      </c>
      <c r="B2" s="16">
        <v>2.1</v>
      </c>
      <c r="E2" s="76" t="s">
        <v>3</v>
      </c>
      <c r="F2" s="76"/>
      <c r="G2" s="76"/>
      <c r="H2" s="76"/>
      <c r="I2" s="76"/>
      <c r="J2" s="76"/>
      <c r="K2" s="76"/>
    </row>
    <row r="3" spans="1:11" x14ac:dyDescent="0.3">
      <c r="A3" s="1" t="s">
        <v>4</v>
      </c>
      <c r="B3" s="16">
        <v>2.1</v>
      </c>
    </row>
    <row r="4" spans="1:11" x14ac:dyDescent="0.3">
      <c r="A4" s="1"/>
    </row>
    <row r="5" spans="1:11" x14ac:dyDescent="0.3">
      <c r="A5" s="1" t="s">
        <v>5</v>
      </c>
    </row>
    <row r="6" spans="1:11" x14ac:dyDescent="0.3">
      <c r="A6" s="16" t="s">
        <v>6</v>
      </c>
      <c r="B6" s="16">
        <f>IF(B9&gt;0, B9/B8, 0)</f>
        <v>95.919779050736494</v>
      </c>
    </row>
    <row r="7" spans="1:11" x14ac:dyDescent="0.3">
      <c r="A7" s="16" t="s">
        <v>7</v>
      </c>
      <c r="B7">
        <v>1</v>
      </c>
    </row>
    <row r="8" spans="1:11" x14ac:dyDescent="0.3">
      <c r="A8" s="16" t="s">
        <v>8</v>
      </c>
      <c r="B8">
        <v>2444</v>
      </c>
    </row>
    <row r="9" spans="1:11" x14ac:dyDescent="0.3">
      <c r="A9" s="16" t="s">
        <v>9</v>
      </c>
      <c r="B9">
        <v>234427.94</v>
      </c>
    </row>
    <row r="15" spans="1:11" x14ac:dyDescent="0.3">
      <c r="A15" s="1" t="s">
        <v>10</v>
      </c>
    </row>
    <row r="16" spans="1:11" s="18" customFormat="1" x14ac:dyDescent="0.3">
      <c r="A16" s="3" t="s">
        <v>11</v>
      </c>
      <c r="B16" s="17">
        <v>42825</v>
      </c>
      <c r="C16" s="17">
        <v>43190</v>
      </c>
      <c r="D16" s="17">
        <v>43555</v>
      </c>
      <c r="E16" s="17">
        <v>43921</v>
      </c>
      <c r="F16" s="17">
        <v>44286</v>
      </c>
      <c r="G16" s="17">
        <v>44651</v>
      </c>
      <c r="H16" s="17">
        <v>45016</v>
      </c>
      <c r="I16" s="17">
        <v>45382</v>
      </c>
      <c r="J16" s="17">
        <v>45747</v>
      </c>
      <c r="K16" s="17">
        <v>46112</v>
      </c>
    </row>
    <row r="17" spans="1:11" s="2" customFormat="1" x14ac:dyDescent="0.3">
      <c r="A17" s="2" t="s">
        <v>12</v>
      </c>
      <c r="B17">
        <v>15061.99</v>
      </c>
      <c r="C17">
        <v>16824.55</v>
      </c>
      <c r="D17">
        <v>19240.13</v>
      </c>
      <c r="E17">
        <v>20211.25</v>
      </c>
      <c r="F17">
        <v>21712.79</v>
      </c>
      <c r="G17">
        <v>29101.279999999999</v>
      </c>
      <c r="H17">
        <v>34488.589999999997</v>
      </c>
      <c r="I17">
        <v>35494.730000000003</v>
      </c>
      <c r="J17">
        <v>33905.620000000003</v>
      </c>
      <c r="K17">
        <v>35583.54</v>
      </c>
    </row>
    <row r="18" spans="1:11" s="2" customFormat="1" x14ac:dyDescent="0.3">
      <c r="A18" s="16" t="s">
        <v>13</v>
      </c>
      <c r="B18">
        <v>7452.6</v>
      </c>
      <c r="C18">
        <v>8128.17</v>
      </c>
      <c r="D18">
        <v>9974.4</v>
      </c>
      <c r="E18">
        <v>9981.99</v>
      </c>
      <c r="F18">
        <v>10425.549999999999</v>
      </c>
      <c r="G18">
        <v>17123.25</v>
      </c>
      <c r="H18">
        <v>18985.53</v>
      </c>
      <c r="I18">
        <v>17410.84</v>
      </c>
      <c r="J18">
        <v>17504.509999999998</v>
      </c>
      <c r="K18">
        <v>17142.009999999998</v>
      </c>
    </row>
    <row r="19" spans="1:11" s="2" customFormat="1" x14ac:dyDescent="0.3">
      <c r="A19" s="16" t="s">
        <v>14</v>
      </c>
      <c r="B19">
        <v>528.6</v>
      </c>
      <c r="C19">
        <v>-142.13</v>
      </c>
      <c r="D19">
        <v>293.26</v>
      </c>
      <c r="E19">
        <v>239.15</v>
      </c>
      <c r="F19">
        <v>92.45</v>
      </c>
      <c r="G19">
        <v>1324.97</v>
      </c>
      <c r="H19">
        <v>309.73</v>
      </c>
      <c r="I19">
        <v>-363.8</v>
      </c>
      <c r="J19">
        <v>205</v>
      </c>
      <c r="K19">
        <v>-603.67999999999995</v>
      </c>
    </row>
    <row r="20" spans="1:11" s="2" customFormat="1" x14ac:dyDescent="0.3">
      <c r="A20" s="16" t="s">
        <v>15</v>
      </c>
      <c r="B20">
        <v>106.02</v>
      </c>
      <c r="C20">
        <v>110.3</v>
      </c>
      <c r="D20">
        <v>119.63</v>
      </c>
      <c r="E20">
        <v>97.79</v>
      </c>
      <c r="F20">
        <v>86.05</v>
      </c>
      <c r="G20">
        <v>117.23</v>
      </c>
      <c r="H20">
        <v>138.29</v>
      </c>
      <c r="I20">
        <v>133.25</v>
      </c>
      <c r="J20">
        <v>148.58000000000001</v>
      </c>
      <c r="K20">
        <v>167.1</v>
      </c>
    </row>
    <row r="21" spans="1:11" s="2" customFormat="1" x14ac:dyDescent="0.3">
      <c r="A21" s="16" t="s">
        <v>16</v>
      </c>
      <c r="B21">
        <v>1662.75</v>
      </c>
      <c r="C21">
        <v>1691.68</v>
      </c>
      <c r="D21">
        <v>1862.35</v>
      </c>
      <c r="E21">
        <v>1946.12</v>
      </c>
      <c r="F21">
        <v>2068.31</v>
      </c>
      <c r="G21">
        <v>2880.45</v>
      </c>
      <c r="H21">
        <v>2916.2</v>
      </c>
      <c r="I21">
        <v>2767.18</v>
      </c>
      <c r="J21">
        <v>2687.4</v>
      </c>
      <c r="K21">
        <v>2767.11</v>
      </c>
    </row>
    <row r="22" spans="1:11" s="2" customFormat="1" x14ac:dyDescent="0.3">
      <c r="A22" s="16" t="s">
        <v>17</v>
      </c>
      <c r="B22">
        <v>1039.8900000000001</v>
      </c>
      <c r="C22">
        <v>1121.8900000000001</v>
      </c>
      <c r="D22">
        <v>1242.69</v>
      </c>
      <c r="E22">
        <v>1371.27</v>
      </c>
      <c r="F22">
        <v>1547.61</v>
      </c>
      <c r="G22">
        <v>1794.61</v>
      </c>
      <c r="H22">
        <v>2036.41</v>
      </c>
      <c r="I22">
        <v>2334.92</v>
      </c>
      <c r="J22">
        <v>2605.7800000000002</v>
      </c>
      <c r="K22">
        <v>2809.73</v>
      </c>
    </row>
    <row r="23" spans="1:11" s="2" customFormat="1" x14ac:dyDescent="0.3">
      <c r="A23" s="16" t="s">
        <v>18</v>
      </c>
      <c r="B23">
        <v>4364.04</v>
      </c>
      <c r="C23">
        <v>2254.92</v>
      </c>
      <c r="D23">
        <v>2366.87</v>
      </c>
      <c r="E23">
        <v>2311.5100000000002</v>
      </c>
      <c r="F23">
        <v>2245.69</v>
      </c>
      <c r="G23">
        <v>2941.98</v>
      </c>
      <c r="H23">
        <v>3500.84</v>
      </c>
      <c r="I23">
        <v>3811.86</v>
      </c>
      <c r="J23">
        <v>3874.94</v>
      </c>
      <c r="K23">
        <v>4112.07</v>
      </c>
    </row>
    <row r="24" spans="1:11" s="2" customFormat="1" x14ac:dyDescent="0.3">
      <c r="A24" s="16" t="s">
        <v>19</v>
      </c>
      <c r="B24">
        <v>-2028.47</v>
      </c>
      <c r="C24">
        <v>171.45</v>
      </c>
      <c r="D24">
        <v>202.51</v>
      </c>
      <c r="E24">
        <v>579.95000000000005</v>
      </c>
      <c r="F24">
        <v>576.42999999999995</v>
      </c>
      <c r="G24">
        <v>765.12</v>
      </c>
      <c r="H24">
        <v>961.21</v>
      </c>
      <c r="I24">
        <v>1087.9000000000001</v>
      </c>
      <c r="J24">
        <v>1283.2</v>
      </c>
      <c r="K24">
        <v>1282.1099999999999</v>
      </c>
    </row>
    <row r="25" spans="1:11" s="2" customFormat="1" x14ac:dyDescent="0.3">
      <c r="A25" s="2" t="s">
        <v>20</v>
      </c>
      <c r="B25">
        <v>337.9</v>
      </c>
      <c r="C25">
        <v>336.41</v>
      </c>
      <c r="D25">
        <v>273.77</v>
      </c>
      <c r="E25">
        <v>350.1</v>
      </c>
      <c r="F25">
        <v>331.65</v>
      </c>
      <c r="G25">
        <v>295.88</v>
      </c>
      <c r="H25">
        <v>431.46</v>
      </c>
      <c r="I25">
        <v>820.96</v>
      </c>
      <c r="J25">
        <v>350.22</v>
      </c>
      <c r="K25">
        <v>727.97</v>
      </c>
    </row>
    <row r="26" spans="1:11" s="2" customFormat="1" x14ac:dyDescent="0.3">
      <c r="A26" s="2" t="s">
        <v>21</v>
      </c>
      <c r="B26">
        <v>334.79</v>
      </c>
      <c r="C26">
        <v>360.47</v>
      </c>
      <c r="D26">
        <v>622.14</v>
      </c>
      <c r="E26">
        <v>780.5</v>
      </c>
      <c r="F26">
        <v>791.27</v>
      </c>
      <c r="G26">
        <v>816.36</v>
      </c>
      <c r="H26">
        <v>858.02</v>
      </c>
      <c r="I26">
        <v>853</v>
      </c>
      <c r="J26">
        <v>1026.3399999999999</v>
      </c>
      <c r="K26">
        <v>1228.8499999999999</v>
      </c>
    </row>
    <row r="27" spans="1:11" s="2" customFormat="1" x14ac:dyDescent="0.3">
      <c r="A27" s="2" t="s">
        <v>22</v>
      </c>
      <c r="B27">
        <v>37.33</v>
      </c>
      <c r="C27">
        <v>41.47</v>
      </c>
      <c r="D27">
        <v>110.47</v>
      </c>
      <c r="E27">
        <v>102.33</v>
      </c>
      <c r="F27">
        <v>91.63</v>
      </c>
      <c r="G27">
        <v>95.41</v>
      </c>
      <c r="H27">
        <v>144.44999999999999</v>
      </c>
      <c r="I27">
        <v>205.17</v>
      </c>
      <c r="J27">
        <v>227.02</v>
      </c>
      <c r="K27">
        <v>195.41</v>
      </c>
    </row>
    <row r="28" spans="1:11" s="2" customFormat="1" x14ac:dyDescent="0.3">
      <c r="A28" s="2" t="s">
        <v>23</v>
      </c>
      <c r="B28">
        <v>2959.54</v>
      </c>
      <c r="C28">
        <v>3138.48</v>
      </c>
      <c r="D28">
        <v>3306.1</v>
      </c>
      <c r="E28">
        <v>3629.04</v>
      </c>
      <c r="F28">
        <v>4304.3500000000004</v>
      </c>
      <c r="G28">
        <v>4187.72</v>
      </c>
      <c r="H28">
        <v>5688.83</v>
      </c>
      <c r="I28">
        <v>7347.77</v>
      </c>
      <c r="J28">
        <v>5103.07</v>
      </c>
      <c r="K28">
        <v>6003.44</v>
      </c>
    </row>
    <row r="29" spans="1:11" s="2" customFormat="1" x14ac:dyDescent="0.3">
      <c r="A29" s="2" t="s">
        <v>24</v>
      </c>
      <c r="B29">
        <v>943.29</v>
      </c>
      <c r="C29">
        <v>1040.96</v>
      </c>
      <c r="D29">
        <v>1098.06</v>
      </c>
      <c r="E29">
        <v>854.85</v>
      </c>
      <c r="F29">
        <v>1097.5999999999999</v>
      </c>
      <c r="G29">
        <v>1102.9100000000001</v>
      </c>
      <c r="H29">
        <v>1493.5</v>
      </c>
      <c r="I29">
        <v>1790.08</v>
      </c>
      <c r="J29">
        <v>1393.36</v>
      </c>
      <c r="K29">
        <v>1608.75</v>
      </c>
    </row>
    <row r="30" spans="1:11" s="2" customFormat="1" x14ac:dyDescent="0.3">
      <c r="A30" s="2" t="s">
        <v>25</v>
      </c>
      <c r="B30">
        <v>1939.43</v>
      </c>
      <c r="C30">
        <v>2038.93</v>
      </c>
      <c r="D30">
        <v>2155.92</v>
      </c>
      <c r="E30">
        <v>2705.17</v>
      </c>
      <c r="F30">
        <v>3139.29</v>
      </c>
      <c r="G30">
        <v>3030.57</v>
      </c>
      <c r="H30">
        <v>4106.45</v>
      </c>
      <c r="I30">
        <v>5460.23</v>
      </c>
      <c r="J30">
        <v>3667.23</v>
      </c>
      <c r="K30">
        <v>4325.3500000000004</v>
      </c>
    </row>
    <row r="31" spans="1:11" s="2" customFormat="1" x14ac:dyDescent="0.3">
      <c r="A31" s="2" t="s">
        <v>26</v>
      </c>
      <c r="B31">
        <v>987.98</v>
      </c>
      <c r="C31">
        <v>834.5</v>
      </c>
      <c r="D31">
        <v>1007.16</v>
      </c>
      <c r="E31">
        <v>1151.04</v>
      </c>
      <c r="F31">
        <v>1712.17</v>
      </c>
      <c r="G31">
        <v>1836.87</v>
      </c>
      <c r="H31">
        <v>2460.35</v>
      </c>
      <c r="I31">
        <v>3194.14</v>
      </c>
      <c r="J31">
        <v>2378.8200000000002</v>
      </c>
      <c r="K31">
        <v>2637.8</v>
      </c>
    </row>
    <row r="32" spans="1:11" s="2" customFormat="1" x14ac:dyDescent="0.3"/>
    <row r="33" spans="1:11" x14ac:dyDescent="0.3">
      <c r="A33" s="2"/>
    </row>
    <row r="34" spans="1:11" x14ac:dyDescent="0.3">
      <c r="A34" s="2"/>
    </row>
    <row r="35" spans="1:11" x14ac:dyDescent="0.3">
      <c r="A35" s="2"/>
    </row>
    <row r="36" spans="1:11" x14ac:dyDescent="0.3">
      <c r="A36" s="2"/>
    </row>
    <row r="37" spans="1:11" x14ac:dyDescent="0.3">
      <c r="A37" s="2"/>
    </row>
    <row r="38" spans="1:11" x14ac:dyDescent="0.3">
      <c r="A38" s="2"/>
    </row>
    <row r="39" spans="1:11" x14ac:dyDescent="0.3">
      <c r="A39" s="2"/>
    </row>
    <row r="40" spans="1:11" x14ac:dyDescent="0.3">
      <c r="A40" s="1" t="s">
        <v>27</v>
      </c>
    </row>
    <row r="41" spans="1:11" s="18" customFormat="1" x14ac:dyDescent="0.3">
      <c r="A41" s="3" t="s">
        <v>11</v>
      </c>
      <c r="B41" s="17">
        <v>45382</v>
      </c>
      <c r="C41" s="17">
        <v>45473</v>
      </c>
      <c r="D41" s="17">
        <v>45565</v>
      </c>
      <c r="E41" s="17">
        <v>45657</v>
      </c>
      <c r="F41" s="17">
        <v>45747</v>
      </c>
      <c r="G41" s="17">
        <v>45838</v>
      </c>
      <c r="H41" s="17">
        <v>45930</v>
      </c>
      <c r="I41" s="17">
        <v>46022</v>
      </c>
      <c r="J41" s="17">
        <v>46112</v>
      </c>
      <c r="K41" s="17">
        <v>46203</v>
      </c>
    </row>
    <row r="42" spans="1:11" s="2" customFormat="1" x14ac:dyDescent="0.3">
      <c r="A42" s="2" t="s">
        <v>12</v>
      </c>
      <c r="B42">
        <v>8730.76</v>
      </c>
      <c r="C42">
        <v>8969.73</v>
      </c>
      <c r="D42">
        <v>8027.54</v>
      </c>
      <c r="E42">
        <v>8549.44</v>
      </c>
      <c r="F42">
        <v>8358.91</v>
      </c>
      <c r="G42">
        <v>8938.5499999999993</v>
      </c>
      <c r="H42">
        <v>8531.27</v>
      </c>
      <c r="I42">
        <v>8867.02</v>
      </c>
      <c r="J42">
        <v>9246.7000000000007</v>
      </c>
      <c r="K42">
        <v>10541.94</v>
      </c>
    </row>
    <row r="43" spans="1:11" s="2" customFormat="1" x14ac:dyDescent="0.3">
      <c r="A43" s="2" t="s">
        <v>28</v>
      </c>
      <c r="B43">
        <v>7039.39</v>
      </c>
      <c r="C43">
        <v>7275.96</v>
      </c>
      <c r="D43">
        <v>6788.03</v>
      </c>
      <c r="E43">
        <v>6912.71</v>
      </c>
      <c r="F43">
        <v>6922.71</v>
      </c>
      <c r="G43">
        <v>7313.58</v>
      </c>
      <c r="H43">
        <v>7027.89</v>
      </c>
      <c r="I43">
        <v>7086.06</v>
      </c>
      <c r="J43">
        <v>7460.09</v>
      </c>
      <c r="K43">
        <v>8373.18</v>
      </c>
    </row>
    <row r="44" spans="1:11" s="2" customFormat="1" x14ac:dyDescent="0.3">
      <c r="A44" s="2" t="s">
        <v>20</v>
      </c>
      <c r="B44">
        <v>212.43</v>
      </c>
      <c r="C44">
        <v>192.93</v>
      </c>
      <c r="D44">
        <v>24.53</v>
      </c>
      <c r="E44">
        <v>192.82</v>
      </c>
      <c r="F44">
        <v>-60.06</v>
      </c>
      <c r="G44">
        <v>229.11</v>
      </c>
      <c r="H44">
        <v>236.94</v>
      </c>
      <c r="I44">
        <v>69.14</v>
      </c>
      <c r="J44">
        <v>196.59</v>
      </c>
      <c r="K44">
        <v>279.01</v>
      </c>
    </row>
    <row r="45" spans="1:11" s="2" customFormat="1" x14ac:dyDescent="0.3">
      <c r="A45" s="2" t="s">
        <v>21</v>
      </c>
      <c r="B45">
        <v>225.61</v>
      </c>
      <c r="C45">
        <v>227.7</v>
      </c>
      <c r="D45">
        <v>241.99</v>
      </c>
      <c r="E45">
        <v>255.55</v>
      </c>
      <c r="F45">
        <v>301.10000000000002</v>
      </c>
      <c r="G45">
        <v>300.87</v>
      </c>
      <c r="H45">
        <v>304.93</v>
      </c>
      <c r="I45">
        <v>313.07</v>
      </c>
      <c r="J45">
        <v>309.98</v>
      </c>
      <c r="K45">
        <v>304.19</v>
      </c>
    </row>
    <row r="46" spans="1:11" s="2" customFormat="1" x14ac:dyDescent="0.3">
      <c r="A46" s="2" t="s">
        <v>22</v>
      </c>
      <c r="B46">
        <v>54.1</v>
      </c>
      <c r="C46">
        <v>55.38</v>
      </c>
      <c r="D46">
        <v>63.01</v>
      </c>
      <c r="E46">
        <v>55.84</v>
      </c>
      <c r="F46">
        <v>52.79</v>
      </c>
      <c r="G46">
        <v>44.5</v>
      </c>
      <c r="H46">
        <v>43.87</v>
      </c>
      <c r="I46">
        <v>47.94</v>
      </c>
      <c r="J46">
        <v>59.1</v>
      </c>
      <c r="K46">
        <v>47.83</v>
      </c>
    </row>
    <row r="47" spans="1:11" s="2" customFormat="1" x14ac:dyDescent="0.3">
      <c r="A47" s="2" t="s">
        <v>23</v>
      </c>
      <c r="B47">
        <v>1624.09</v>
      </c>
      <c r="C47">
        <v>1603.62</v>
      </c>
      <c r="D47">
        <v>959.04</v>
      </c>
      <c r="E47">
        <v>1518.16</v>
      </c>
      <c r="F47">
        <v>1022.25</v>
      </c>
      <c r="G47">
        <v>1508.71</v>
      </c>
      <c r="H47">
        <v>1391.52</v>
      </c>
      <c r="I47">
        <v>1489.09</v>
      </c>
      <c r="J47">
        <v>1614.12</v>
      </c>
      <c r="K47">
        <v>2095.75</v>
      </c>
    </row>
    <row r="48" spans="1:11" s="2" customFormat="1" x14ac:dyDescent="0.3">
      <c r="A48" s="2" t="s">
        <v>24</v>
      </c>
      <c r="B48">
        <v>348.79</v>
      </c>
      <c r="C48">
        <v>416.83</v>
      </c>
      <c r="D48">
        <v>265.38</v>
      </c>
      <c r="E48">
        <v>389.73</v>
      </c>
      <c r="F48">
        <v>321.42</v>
      </c>
      <c r="G48">
        <v>391.66</v>
      </c>
      <c r="H48">
        <v>373.29</v>
      </c>
      <c r="I48">
        <v>415.17</v>
      </c>
      <c r="J48">
        <v>428.63</v>
      </c>
      <c r="K48">
        <v>536.29999999999995</v>
      </c>
    </row>
    <row r="49" spans="1:11" s="2" customFormat="1" x14ac:dyDescent="0.3">
      <c r="A49" s="2" t="s">
        <v>25</v>
      </c>
      <c r="B49">
        <v>1256.72</v>
      </c>
      <c r="C49">
        <v>1169.98</v>
      </c>
      <c r="D49">
        <v>694.64</v>
      </c>
      <c r="E49">
        <v>1110.48</v>
      </c>
      <c r="F49">
        <v>692.13</v>
      </c>
      <c r="G49">
        <v>1099.77</v>
      </c>
      <c r="H49">
        <v>993.59</v>
      </c>
      <c r="I49">
        <v>1059.8699999999999</v>
      </c>
      <c r="J49">
        <v>1172.1199999999999</v>
      </c>
      <c r="K49">
        <v>1539.25</v>
      </c>
    </row>
    <row r="50" spans="1:11" x14ac:dyDescent="0.3">
      <c r="A50" s="2" t="s">
        <v>29</v>
      </c>
      <c r="B50">
        <v>1691.37</v>
      </c>
      <c r="C50">
        <v>1693.77</v>
      </c>
      <c r="D50">
        <v>1239.51</v>
      </c>
      <c r="E50">
        <v>1636.73</v>
      </c>
      <c r="F50">
        <v>1436.2</v>
      </c>
      <c r="G50">
        <v>1624.97</v>
      </c>
      <c r="H50">
        <v>1503.38</v>
      </c>
      <c r="I50">
        <v>1780.96</v>
      </c>
      <c r="J50">
        <v>1786.61</v>
      </c>
      <c r="K50">
        <v>2168.7600000000002</v>
      </c>
    </row>
    <row r="51" spans="1:11" x14ac:dyDescent="0.3">
      <c r="A51" s="2"/>
    </row>
    <row r="52" spans="1:11" x14ac:dyDescent="0.3">
      <c r="A52" s="2"/>
    </row>
    <row r="53" spans="1:11" x14ac:dyDescent="0.3">
      <c r="A53" s="2"/>
    </row>
    <row r="54" spans="1:11" x14ac:dyDescent="0.3">
      <c r="A54" s="2"/>
    </row>
    <row r="55" spans="1:11" x14ac:dyDescent="0.3">
      <c r="A55" s="1" t="s">
        <v>30</v>
      </c>
    </row>
    <row r="56" spans="1:11" s="18" customFormat="1" x14ac:dyDescent="0.3">
      <c r="A56" s="3" t="s">
        <v>11</v>
      </c>
      <c r="B56" s="17">
        <v>42825</v>
      </c>
      <c r="C56" s="17">
        <v>43190</v>
      </c>
      <c r="D56" s="17">
        <v>43555</v>
      </c>
      <c r="E56" s="17">
        <v>43921</v>
      </c>
      <c r="F56" s="17">
        <v>44286</v>
      </c>
      <c r="G56" s="17">
        <v>44651</v>
      </c>
      <c r="H56" s="17">
        <v>45016</v>
      </c>
      <c r="I56" s="17">
        <v>45382</v>
      </c>
      <c r="J56" s="17">
        <v>45747</v>
      </c>
      <c r="K56" s="17">
        <v>46112</v>
      </c>
    </row>
    <row r="57" spans="1:11" x14ac:dyDescent="0.3">
      <c r="A57" s="2" t="s">
        <v>31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2" t="s">
        <v>32</v>
      </c>
      <c r="B58">
        <v>7507.97</v>
      </c>
      <c r="C58">
        <v>8314.31</v>
      </c>
      <c r="D58">
        <v>9374.6299999999992</v>
      </c>
      <c r="E58">
        <v>10034.24</v>
      </c>
      <c r="F58">
        <v>12710.37</v>
      </c>
      <c r="G58">
        <v>13715.64</v>
      </c>
      <c r="H58">
        <v>15896.31</v>
      </c>
      <c r="I58">
        <v>18632.38</v>
      </c>
      <c r="J58">
        <v>19303.89</v>
      </c>
      <c r="K58">
        <v>21275.67</v>
      </c>
    </row>
    <row r="59" spans="1:11" x14ac:dyDescent="0.3">
      <c r="A59" s="2" t="s">
        <v>33</v>
      </c>
      <c r="B59">
        <v>560.34</v>
      </c>
      <c r="C59">
        <v>533.42999999999995</v>
      </c>
      <c r="D59">
        <v>1319.6</v>
      </c>
      <c r="E59">
        <v>1118.5</v>
      </c>
      <c r="F59">
        <v>1093.1199999999999</v>
      </c>
      <c r="G59">
        <v>1586.88</v>
      </c>
      <c r="H59">
        <v>1932.62</v>
      </c>
      <c r="I59">
        <v>2474.38</v>
      </c>
      <c r="J59">
        <v>2290.29</v>
      </c>
      <c r="K59">
        <v>3928.93</v>
      </c>
    </row>
    <row r="60" spans="1:11" x14ac:dyDescent="0.3">
      <c r="A60" s="2" t="s">
        <v>34</v>
      </c>
      <c r="B60">
        <v>4240.96</v>
      </c>
      <c r="C60">
        <v>4819.82</v>
      </c>
      <c r="D60">
        <v>5458.69</v>
      </c>
      <c r="E60">
        <v>4889.3100000000004</v>
      </c>
      <c r="F60">
        <v>6455.93</v>
      </c>
      <c r="G60">
        <v>7559.99</v>
      </c>
      <c r="H60">
        <v>7854.48</v>
      </c>
      <c r="I60">
        <v>8698.09</v>
      </c>
      <c r="J60">
        <v>8665.15</v>
      </c>
      <c r="K60">
        <v>9218.23</v>
      </c>
    </row>
    <row r="61" spans="1:11" s="1" customFormat="1" x14ac:dyDescent="0.3">
      <c r="A61" s="1" t="s">
        <v>35</v>
      </c>
      <c r="B61">
        <v>12405.19</v>
      </c>
      <c r="C61">
        <v>13763.48</v>
      </c>
      <c r="D61">
        <v>16248.84</v>
      </c>
      <c r="E61">
        <v>16137.97</v>
      </c>
      <c r="F61">
        <v>20355.34</v>
      </c>
      <c r="G61">
        <v>22958.43</v>
      </c>
      <c r="H61">
        <v>25779.33</v>
      </c>
      <c r="I61">
        <v>29900.77</v>
      </c>
      <c r="J61">
        <v>30355.25</v>
      </c>
      <c r="K61">
        <v>34518.75</v>
      </c>
    </row>
    <row r="62" spans="1:11" x14ac:dyDescent="0.3">
      <c r="A62" s="2" t="s">
        <v>36</v>
      </c>
      <c r="B62">
        <v>3303.74</v>
      </c>
      <c r="C62">
        <v>3732.24</v>
      </c>
      <c r="D62">
        <v>6496.56</v>
      </c>
      <c r="E62">
        <v>6272.31</v>
      </c>
      <c r="F62">
        <v>5858.52</v>
      </c>
      <c r="G62">
        <v>5519.06</v>
      </c>
      <c r="H62">
        <v>5770.46</v>
      </c>
      <c r="I62">
        <v>7146.62</v>
      </c>
      <c r="J62">
        <v>9220.1</v>
      </c>
      <c r="K62">
        <v>9640.2800000000007</v>
      </c>
    </row>
    <row r="63" spans="1:11" x14ac:dyDescent="0.3">
      <c r="A63" s="2" t="s">
        <v>37</v>
      </c>
      <c r="B63">
        <v>257.54000000000002</v>
      </c>
      <c r="C63">
        <v>1405.11</v>
      </c>
      <c r="D63">
        <v>209.67</v>
      </c>
      <c r="E63">
        <v>140.24</v>
      </c>
      <c r="F63">
        <v>182.98</v>
      </c>
      <c r="G63">
        <v>426.43</v>
      </c>
      <c r="H63">
        <v>1019.59</v>
      </c>
      <c r="I63">
        <v>2698.37</v>
      </c>
      <c r="J63">
        <v>1254.49</v>
      </c>
      <c r="K63">
        <v>1848.67</v>
      </c>
    </row>
    <row r="64" spans="1:11" x14ac:dyDescent="0.3">
      <c r="A64" s="2" t="s">
        <v>38</v>
      </c>
      <c r="B64">
        <v>2651.99</v>
      </c>
      <c r="C64">
        <v>2140.6999999999998</v>
      </c>
      <c r="D64">
        <v>2568.58</v>
      </c>
      <c r="E64">
        <v>2018.85</v>
      </c>
      <c r="F64">
        <v>4736.8</v>
      </c>
      <c r="G64">
        <v>3247.53</v>
      </c>
      <c r="H64">
        <v>4261.71</v>
      </c>
      <c r="I64">
        <v>4587.92</v>
      </c>
      <c r="J64">
        <v>4724.75</v>
      </c>
      <c r="K64">
        <v>7061.74</v>
      </c>
    </row>
    <row r="65" spans="1:11" x14ac:dyDescent="0.3">
      <c r="A65" s="2" t="s">
        <v>39</v>
      </c>
      <c r="B65">
        <v>6191.92</v>
      </c>
      <c r="C65">
        <v>6485.43</v>
      </c>
      <c r="D65">
        <v>6974.03</v>
      </c>
      <c r="E65">
        <v>7706.57</v>
      </c>
      <c r="F65">
        <v>9577.0400000000009</v>
      </c>
      <c r="G65">
        <v>13765.41</v>
      </c>
      <c r="H65">
        <v>14727.57</v>
      </c>
      <c r="I65">
        <v>15467.86</v>
      </c>
      <c r="J65">
        <v>15155.91</v>
      </c>
      <c r="K65">
        <v>15968.06</v>
      </c>
    </row>
    <row r="66" spans="1:11" s="1" customFormat="1" x14ac:dyDescent="0.3">
      <c r="A66" s="1" t="s">
        <v>35</v>
      </c>
      <c r="B66">
        <v>12405.19</v>
      </c>
      <c r="C66">
        <v>13763.48</v>
      </c>
      <c r="D66">
        <v>16248.84</v>
      </c>
      <c r="E66">
        <v>16137.97</v>
      </c>
      <c r="F66">
        <v>20355.34</v>
      </c>
      <c r="G66">
        <v>22958.43</v>
      </c>
      <c r="H66">
        <v>25779.33</v>
      </c>
      <c r="I66">
        <v>29900.77</v>
      </c>
      <c r="J66">
        <v>30355.25</v>
      </c>
      <c r="K66">
        <v>34518.75</v>
      </c>
    </row>
    <row r="67" spans="1:11" s="2" customFormat="1" x14ac:dyDescent="0.3">
      <c r="A67" s="2" t="s">
        <v>40</v>
      </c>
      <c r="B67">
        <v>1446.6</v>
      </c>
      <c r="C67">
        <v>1730.63</v>
      </c>
      <c r="D67">
        <v>1907.33</v>
      </c>
      <c r="E67">
        <v>1795.22</v>
      </c>
      <c r="F67">
        <v>2602.17</v>
      </c>
      <c r="G67">
        <v>3871.44</v>
      </c>
      <c r="H67">
        <v>4636.9399999999996</v>
      </c>
      <c r="I67">
        <v>4889.05</v>
      </c>
      <c r="J67">
        <v>4313.6499999999996</v>
      </c>
      <c r="K67">
        <v>4461.8</v>
      </c>
    </row>
    <row r="68" spans="1:11" x14ac:dyDescent="0.3">
      <c r="A68" s="2" t="s">
        <v>41</v>
      </c>
      <c r="B68">
        <v>2626.94</v>
      </c>
      <c r="C68">
        <v>2658.31</v>
      </c>
      <c r="D68">
        <v>3149.86</v>
      </c>
      <c r="E68">
        <v>3389.81</v>
      </c>
      <c r="F68">
        <v>3798.6</v>
      </c>
      <c r="G68">
        <v>6152.98</v>
      </c>
      <c r="H68">
        <v>6210.64</v>
      </c>
      <c r="I68">
        <v>5923.41</v>
      </c>
      <c r="J68">
        <v>6719.27</v>
      </c>
      <c r="K68">
        <v>5743.69</v>
      </c>
    </row>
    <row r="69" spans="1:11" x14ac:dyDescent="0.3">
      <c r="A69" s="16" t="s">
        <v>42</v>
      </c>
      <c r="B69">
        <v>801.21</v>
      </c>
      <c r="C69">
        <v>404.65</v>
      </c>
      <c r="D69">
        <v>444.88</v>
      </c>
      <c r="E69">
        <v>782.83</v>
      </c>
      <c r="F69">
        <v>610.75</v>
      </c>
      <c r="G69">
        <v>864.33</v>
      </c>
      <c r="H69">
        <v>843.82</v>
      </c>
      <c r="I69">
        <v>1084.01</v>
      </c>
      <c r="J69">
        <v>781.98</v>
      </c>
      <c r="K69">
        <v>1073.68</v>
      </c>
    </row>
    <row r="70" spans="1:11" x14ac:dyDescent="0.3">
      <c r="A70" s="16" t="s">
        <v>43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16" t="s">
        <v>44</v>
      </c>
    </row>
    <row r="72" spans="1:11" x14ac:dyDescent="0.3">
      <c r="A72" s="16" t="s">
        <v>45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2"/>
    </row>
    <row r="75" spans="1:11" x14ac:dyDescent="0.3">
      <c r="A75" s="2"/>
    </row>
    <row r="76" spans="1:11" x14ac:dyDescent="0.3">
      <c r="A76" s="2"/>
    </row>
    <row r="77" spans="1:11" x14ac:dyDescent="0.3">
      <c r="A77" s="2"/>
    </row>
    <row r="78" spans="1:11" x14ac:dyDescent="0.3">
      <c r="A78" s="2"/>
    </row>
    <row r="79" spans="1:11" x14ac:dyDescent="0.3">
      <c r="A79" s="2"/>
    </row>
    <row r="80" spans="1:11" x14ac:dyDescent="0.3">
      <c r="A80" s="1" t="s">
        <v>46</v>
      </c>
    </row>
    <row r="81" spans="1:11" s="18" customFormat="1" x14ac:dyDescent="0.3">
      <c r="A81" s="3" t="s">
        <v>11</v>
      </c>
      <c r="B81" s="17">
        <v>42825</v>
      </c>
      <c r="C81" s="17">
        <v>43190</v>
      </c>
      <c r="D81" s="17">
        <v>43555</v>
      </c>
      <c r="E81" s="17">
        <v>43921</v>
      </c>
      <c r="F81" s="17">
        <v>44286</v>
      </c>
      <c r="G81" s="17">
        <v>44651</v>
      </c>
      <c r="H81" s="17">
        <v>45016</v>
      </c>
      <c r="I81" s="17">
        <v>45382</v>
      </c>
      <c r="J81" s="17">
        <v>45747</v>
      </c>
      <c r="K81" s="17">
        <v>46112</v>
      </c>
    </row>
    <row r="82" spans="1:11" s="1" customFormat="1" x14ac:dyDescent="0.3">
      <c r="A82" s="2" t="s">
        <v>47</v>
      </c>
      <c r="B82">
        <v>1527.33</v>
      </c>
      <c r="C82">
        <v>2113.44</v>
      </c>
      <c r="D82">
        <v>2469.54</v>
      </c>
      <c r="E82">
        <v>3038.15</v>
      </c>
      <c r="F82">
        <v>3683.35</v>
      </c>
      <c r="G82">
        <v>986.49</v>
      </c>
      <c r="H82">
        <v>4193.43</v>
      </c>
      <c r="I82">
        <v>6103.6</v>
      </c>
      <c r="J82">
        <v>4423.96</v>
      </c>
      <c r="K82">
        <v>7088.18</v>
      </c>
    </row>
    <row r="83" spans="1:11" s="2" customFormat="1" x14ac:dyDescent="0.3">
      <c r="A83" s="2" t="s">
        <v>48</v>
      </c>
      <c r="B83">
        <v>-681.11</v>
      </c>
      <c r="C83">
        <v>-1556.14</v>
      </c>
      <c r="D83">
        <v>-917.79</v>
      </c>
      <c r="E83">
        <v>-517.91</v>
      </c>
      <c r="F83">
        <v>-540.54</v>
      </c>
      <c r="G83">
        <v>-316.75</v>
      </c>
      <c r="H83">
        <v>-1282.3399999999999</v>
      </c>
      <c r="I83">
        <v>-2548.48</v>
      </c>
      <c r="J83">
        <v>-940.91</v>
      </c>
      <c r="K83">
        <v>-1328.23</v>
      </c>
    </row>
    <row r="84" spans="1:11" s="2" customFormat="1" x14ac:dyDescent="0.3">
      <c r="A84" s="2" t="s">
        <v>49</v>
      </c>
      <c r="B84">
        <v>-756.43</v>
      </c>
      <c r="C84">
        <v>-1379.14</v>
      </c>
      <c r="D84">
        <v>-1117.46</v>
      </c>
      <c r="E84">
        <v>-2871.46</v>
      </c>
      <c r="F84">
        <v>-650.4</v>
      </c>
      <c r="G84">
        <v>-1807.61</v>
      </c>
      <c r="H84">
        <v>-2140.0500000000002</v>
      </c>
      <c r="I84">
        <v>-2982.5</v>
      </c>
      <c r="J84">
        <v>-3752.58</v>
      </c>
      <c r="K84">
        <v>-2376.5100000000002</v>
      </c>
    </row>
    <row r="85" spans="1:11" s="1" customFormat="1" x14ac:dyDescent="0.3">
      <c r="A85" s="2" t="s">
        <v>50</v>
      </c>
      <c r="B85">
        <v>89.79</v>
      </c>
      <c r="C85">
        <v>-821.84</v>
      </c>
      <c r="D85">
        <v>434.29</v>
      </c>
      <c r="E85">
        <v>-351.22</v>
      </c>
      <c r="F85">
        <v>2492.41</v>
      </c>
      <c r="G85">
        <v>-1137.8699999999999</v>
      </c>
      <c r="H85">
        <v>771.04</v>
      </c>
      <c r="I85">
        <v>572.62</v>
      </c>
      <c r="J85">
        <v>-269.52999999999997</v>
      </c>
      <c r="K85">
        <v>3383.44</v>
      </c>
    </row>
    <row r="86" spans="1:11" x14ac:dyDescent="0.3">
      <c r="A86" s="2"/>
    </row>
    <row r="87" spans="1:11" x14ac:dyDescent="0.3">
      <c r="A87" s="2"/>
    </row>
    <row r="88" spans="1:11" x14ac:dyDescent="0.3">
      <c r="A88" s="2"/>
    </row>
    <row r="89" spans="1:11" x14ac:dyDescent="0.3">
      <c r="A89" s="2"/>
    </row>
    <row r="90" spans="1:11" s="1" customFormat="1" x14ac:dyDescent="0.3">
      <c r="A90" s="1" t="s">
        <v>51</v>
      </c>
      <c r="B90">
        <v>1073.5</v>
      </c>
      <c r="C90">
        <v>1120.4000000000001</v>
      </c>
      <c r="D90">
        <v>1492.7</v>
      </c>
      <c r="E90">
        <v>1666.5</v>
      </c>
      <c r="F90">
        <v>2537.4</v>
      </c>
      <c r="G90">
        <v>3079.95</v>
      </c>
      <c r="H90">
        <v>2761.65</v>
      </c>
      <c r="I90">
        <v>2846.75</v>
      </c>
      <c r="J90">
        <v>2340.65</v>
      </c>
      <c r="K90">
        <v>2165.1999999999998</v>
      </c>
    </row>
    <row r="92" spans="1:11" s="1" customFormat="1" x14ac:dyDescent="0.3">
      <c r="A92" s="1" t="s">
        <v>52</v>
      </c>
    </row>
    <row r="93" spans="1:11" x14ac:dyDescent="0.3">
      <c r="A93" s="16" t="s">
        <v>53</v>
      </c>
      <c r="B93" s="19">
        <v>95.92</v>
      </c>
      <c r="C93" s="19">
        <v>95.92</v>
      </c>
      <c r="D93" s="19">
        <v>95.92</v>
      </c>
      <c r="E93" s="19">
        <v>95.92</v>
      </c>
      <c r="F93" s="19">
        <v>95.92</v>
      </c>
      <c r="G93" s="19">
        <v>95.92</v>
      </c>
      <c r="H93" s="19">
        <v>95.92</v>
      </c>
      <c r="I93" s="19">
        <v>95.92</v>
      </c>
      <c r="J93" s="19">
        <v>95.92</v>
      </c>
      <c r="K93" s="19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5C7C1CA-ABE7-4A64-93B0-3182000B4B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7CF6-A25C-4A33-9AC1-3BF3E3BBADA3}">
  <sheetPr>
    <tabColor theme="4" tint="0.39997558519241921"/>
  </sheetPr>
  <dimension ref="A1"/>
  <sheetViews>
    <sheetView showGridLines="0" workbookViewId="0">
      <selection activeCell="B2" sqref="B2"/>
    </sheetView>
  </sheetViews>
  <sheetFormatPr defaultRowHeight="14.4" x14ac:dyDescent="0.3"/>
  <cols>
    <col min="1" max="1" width="1.886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8C02-07E1-4B6D-90D7-DEF8A6A1DFEC}">
  <sheetPr>
    <tabColor rgb="FF002060"/>
  </sheetPr>
  <dimension ref="A2:N105"/>
  <sheetViews>
    <sheetView showGridLines="0" zoomScale="101" workbookViewId="0">
      <selection activeCell="L61" sqref="L61"/>
    </sheetView>
  </sheetViews>
  <sheetFormatPr defaultRowHeight="14.4" x14ac:dyDescent="0.3"/>
  <cols>
    <col min="1" max="1" width="2.6640625" bestFit="1" customWidth="1"/>
    <col min="2" max="2" width="28" bestFit="1" customWidth="1"/>
    <col min="3" max="12" width="11.44140625" bestFit="1" customWidth="1"/>
  </cols>
  <sheetData>
    <row r="2" spans="1:14" x14ac:dyDescent="0.3">
      <c r="B2" s="77" t="str">
        <f>"Historical Financial Statement - " &amp;'Data Sheet'!B1</f>
        <v>Historical Financial Statement - ASIAN PAINTS LTD</v>
      </c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4" x14ac:dyDescent="0.3">
      <c r="B3" s="4" t="s">
        <v>54</v>
      </c>
      <c r="C3" s="5">
        <f>'Data Sheet'!B16</f>
        <v>42825</v>
      </c>
      <c r="D3" s="5">
        <f>'Data Sheet'!C16</f>
        <v>43190</v>
      </c>
      <c r="E3" s="5">
        <f>'Data Sheet'!D16</f>
        <v>43555</v>
      </c>
      <c r="F3" s="5">
        <f>'Data Sheet'!E16</f>
        <v>43921</v>
      </c>
      <c r="G3" s="5">
        <f>'Data Sheet'!F16</f>
        <v>44286</v>
      </c>
      <c r="H3" s="5">
        <f>'Data Sheet'!G16</f>
        <v>44651</v>
      </c>
      <c r="I3" s="5">
        <f>'Data Sheet'!H16</f>
        <v>45016</v>
      </c>
      <c r="J3" s="5">
        <f>'Data Sheet'!I16</f>
        <v>45382</v>
      </c>
      <c r="K3" s="5">
        <f>'Data Sheet'!J16</f>
        <v>45747</v>
      </c>
      <c r="L3" s="5">
        <f>'Data Sheet'!K16</f>
        <v>46112</v>
      </c>
    </row>
    <row r="4" spans="1:14" x14ac:dyDescent="0.3">
      <c r="B4" s="8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4" x14ac:dyDescent="0.3">
      <c r="A5" s="12" t="s">
        <v>65</v>
      </c>
      <c r="B5" s="11" t="s">
        <v>64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4" x14ac:dyDescent="0.3">
      <c r="B6" t="s">
        <v>12</v>
      </c>
      <c r="C6" s="20">
        <f>IFERROR('Data Sheet'!B17,0)</f>
        <v>15061.99</v>
      </c>
      <c r="D6" s="20">
        <f>IFERROR('Data Sheet'!C17,0)</f>
        <v>16824.55</v>
      </c>
      <c r="E6" s="20">
        <f>IFERROR('Data Sheet'!D17,0)</f>
        <v>19240.13</v>
      </c>
      <c r="F6" s="20">
        <f>IFERROR('Data Sheet'!E17,0)</f>
        <v>20211.25</v>
      </c>
      <c r="G6" s="20">
        <f>IFERROR('Data Sheet'!F17,0)</f>
        <v>21712.79</v>
      </c>
      <c r="H6" s="20">
        <f>IFERROR('Data Sheet'!G17,0)</f>
        <v>29101.279999999999</v>
      </c>
      <c r="I6" s="20">
        <f>IFERROR('Data Sheet'!H17,0)</f>
        <v>34488.589999999997</v>
      </c>
      <c r="J6" s="20">
        <f>IFERROR('Data Sheet'!I17,0)</f>
        <v>35494.730000000003</v>
      </c>
      <c r="K6" s="20">
        <f>IFERROR('Data Sheet'!J17,0)</f>
        <v>33905.620000000003</v>
      </c>
      <c r="L6" s="20">
        <f>IFERROR('Data Sheet'!K17,0)</f>
        <v>35583.54</v>
      </c>
    </row>
    <row r="7" spans="1:14" x14ac:dyDescent="0.3">
      <c r="B7" s="6" t="s">
        <v>55</v>
      </c>
      <c r="C7" s="6"/>
      <c r="D7" s="7">
        <f t="shared" ref="D7:L7" si="0">(D6/C6-1)</f>
        <v>0.11702039371955486</v>
      </c>
      <c r="E7" s="7">
        <f t="shared" si="0"/>
        <v>0.14357471670861943</v>
      </c>
      <c r="F7" s="7">
        <f t="shared" si="0"/>
        <v>5.0473671435691925E-2</v>
      </c>
      <c r="G7" s="7">
        <f t="shared" si="0"/>
        <v>7.4292287711052118E-2</v>
      </c>
      <c r="H7" s="7">
        <f t="shared" si="0"/>
        <v>0.34028284711453471</v>
      </c>
      <c r="I7" s="7">
        <f t="shared" si="0"/>
        <v>0.18512278497715551</v>
      </c>
      <c r="J7" s="7">
        <f t="shared" si="0"/>
        <v>2.9173126532572313E-2</v>
      </c>
      <c r="K7" s="7">
        <f t="shared" si="0"/>
        <v>-4.4770308155605121E-2</v>
      </c>
      <c r="L7" s="7">
        <f t="shared" si="0"/>
        <v>4.9487960992897317E-2</v>
      </c>
    </row>
    <row r="9" spans="1:14" x14ac:dyDescent="0.3">
      <c r="B9" t="s">
        <v>56</v>
      </c>
      <c r="C9" s="15">
        <f>IFERROR(SUM('Data Sheet'!B18,'Data Sheet'!B20:B22)-1*'Data Sheet'!B19,0)</f>
        <v>9732.66</v>
      </c>
      <c r="D9" s="15">
        <f>IFERROR(SUM('Data Sheet'!C18,'Data Sheet'!C20:C22)-1*'Data Sheet'!C19,0)</f>
        <v>11194.169999999998</v>
      </c>
      <c r="E9" s="15">
        <f>IFERROR(SUM('Data Sheet'!D18,'Data Sheet'!D20:D22)-1*'Data Sheet'!D19,0)</f>
        <v>12905.81</v>
      </c>
      <c r="F9" s="15">
        <f>IFERROR(SUM('Data Sheet'!E18,'Data Sheet'!E20:E22)-1*'Data Sheet'!E19,0)</f>
        <v>13158.020000000002</v>
      </c>
      <c r="G9" s="15">
        <f>IFERROR(SUM('Data Sheet'!F18,'Data Sheet'!F20:F22)-1*'Data Sheet'!F19,0)</f>
        <v>14035.069999999998</v>
      </c>
      <c r="H9" s="15">
        <f>IFERROR(SUM('Data Sheet'!G18,'Data Sheet'!G20:G22)-1*'Data Sheet'!G19,0)</f>
        <v>20590.57</v>
      </c>
      <c r="I9" s="15">
        <f>IFERROR(SUM('Data Sheet'!H18,'Data Sheet'!H20:H22)-1*'Data Sheet'!H19,0)</f>
        <v>23766.7</v>
      </c>
      <c r="J9" s="15">
        <f>IFERROR(SUM('Data Sheet'!I18,'Data Sheet'!I20:I22)-1*'Data Sheet'!I19,0)</f>
        <v>23009.99</v>
      </c>
      <c r="K9" s="15">
        <f>IFERROR(SUM('Data Sheet'!J18,'Data Sheet'!J20:J22)-1*'Data Sheet'!J19,0)</f>
        <v>22741.27</v>
      </c>
      <c r="L9" s="15">
        <f>IFERROR(SUM('Data Sheet'!K18,'Data Sheet'!K20:K22)-1*'Data Sheet'!K19,0)</f>
        <v>23489.629999999997</v>
      </c>
    </row>
    <row r="10" spans="1:14" x14ac:dyDescent="0.3">
      <c r="B10" s="7" t="s">
        <v>57</v>
      </c>
      <c r="C10" s="7">
        <f t="shared" ref="C10:L10" si="1">C9/C6</f>
        <v>0.64617357998511482</v>
      </c>
      <c r="D10" s="7">
        <f t="shared" si="1"/>
        <v>0.66534736441687881</v>
      </c>
      <c r="E10" s="7">
        <f t="shared" si="1"/>
        <v>0.67077561326248825</v>
      </c>
      <c r="F10" s="7">
        <f t="shared" si="1"/>
        <v>0.65102455315727636</v>
      </c>
      <c r="G10" s="7">
        <f t="shared" si="1"/>
        <v>0.64639643270164715</v>
      </c>
      <c r="H10" s="7">
        <f t="shared" si="1"/>
        <v>0.70754860267314701</v>
      </c>
      <c r="I10" s="7">
        <f t="shared" si="1"/>
        <v>0.68911776329504926</v>
      </c>
      <c r="J10" s="7">
        <f t="shared" si="1"/>
        <v>0.64826496778535858</v>
      </c>
      <c r="K10" s="7">
        <f t="shared" si="1"/>
        <v>0.67072272974214886</v>
      </c>
      <c r="L10" s="7">
        <f t="shared" si="1"/>
        <v>0.66012628310730181</v>
      </c>
    </row>
    <row r="12" spans="1:14" x14ac:dyDescent="0.3">
      <c r="B12" s="28" t="s">
        <v>58</v>
      </c>
      <c r="C12" s="29">
        <f t="shared" ref="C12:L12" si="2">C6-C9</f>
        <v>5329.33</v>
      </c>
      <c r="D12" s="29">
        <f t="shared" si="2"/>
        <v>5630.380000000001</v>
      </c>
      <c r="E12" s="29">
        <f t="shared" si="2"/>
        <v>6334.3200000000015</v>
      </c>
      <c r="F12" s="29">
        <f t="shared" si="2"/>
        <v>7053.2299999999977</v>
      </c>
      <c r="G12" s="29">
        <f t="shared" si="2"/>
        <v>7677.720000000003</v>
      </c>
      <c r="H12" s="29">
        <f t="shared" si="2"/>
        <v>8510.7099999999991</v>
      </c>
      <c r="I12" s="29">
        <f t="shared" si="2"/>
        <v>10721.889999999996</v>
      </c>
      <c r="J12" s="29">
        <f t="shared" si="2"/>
        <v>12484.740000000002</v>
      </c>
      <c r="K12" s="29">
        <f t="shared" si="2"/>
        <v>11164.350000000002</v>
      </c>
      <c r="L12" s="29">
        <f t="shared" si="2"/>
        <v>12093.910000000003</v>
      </c>
    </row>
    <row r="13" spans="1:14" x14ac:dyDescent="0.3">
      <c r="B13" s="7" t="s">
        <v>87</v>
      </c>
      <c r="C13" s="7">
        <f t="shared" ref="C13:L13" si="3">C12/C6</f>
        <v>0.35382642001488518</v>
      </c>
      <c r="D13" s="7">
        <f t="shared" si="3"/>
        <v>0.33465263558312119</v>
      </c>
      <c r="E13" s="7">
        <f t="shared" si="3"/>
        <v>0.3292243867375117</v>
      </c>
      <c r="F13" s="7">
        <f t="shared" si="3"/>
        <v>0.34897544684272364</v>
      </c>
      <c r="G13" s="7">
        <f t="shared" si="3"/>
        <v>0.35360356729835285</v>
      </c>
      <c r="H13" s="7">
        <f t="shared" si="3"/>
        <v>0.29245139732685294</v>
      </c>
      <c r="I13" s="7">
        <f t="shared" si="3"/>
        <v>0.31088223670495074</v>
      </c>
      <c r="J13" s="7">
        <f t="shared" si="3"/>
        <v>0.35173503221464147</v>
      </c>
      <c r="K13" s="7">
        <f t="shared" si="3"/>
        <v>0.32927727025785108</v>
      </c>
      <c r="L13" s="7">
        <f t="shared" si="3"/>
        <v>0.33987371689269824</v>
      </c>
    </row>
    <row r="15" spans="1:14" x14ac:dyDescent="0.3">
      <c r="B15" t="s">
        <v>59</v>
      </c>
      <c r="C15" s="15">
        <f>IFERROR(SUM('Data Sheet'!B23:B24),0)</f>
        <v>2335.5699999999997</v>
      </c>
      <c r="D15" s="15">
        <f>IFERROR(SUM('Data Sheet'!C23:C24),0)</f>
        <v>2426.37</v>
      </c>
      <c r="E15" s="15">
        <f>IFERROR(SUM('Data Sheet'!D23:D24),0)</f>
        <v>2569.38</v>
      </c>
      <c r="F15" s="15">
        <f>IFERROR(SUM('Data Sheet'!E23:E24),0)</f>
        <v>2891.46</v>
      </c>
      <c r="G15" s="15">
        <f>IFERROR(SUM('Data Sheet'!F23:F24),0)</f>
        <v>2822.12</v>
      </c>
      <c r="H15" s="15">
        <f>IFERROR(SUM('Data Sheet'!G23:G24),0)</f>
        <v>3707.1</v>
      </c>
      <c r="I15" s="15">
        <f>IFERROR(SUM('Data Sheet'!H23:H24),0)</f>
        <v>4462.05</v>
      </c>
      <c r="J15" s="15">
        <f>IFERROR(SUM('Data Sheet'!I23:I24),0)</f>
        <v>4899.76</v>
      </c>
      <c r="K15" s="15">
        <f>IFERROR(SUM('Data Sheet'!J23:J24),0)</f>
        <v>5158.1400000000003</v>
      </c>
      <c r="L15" s="15">
        <f>IFERROR(SUM('Data Sheet'!K23:K24),0)</f>
        <v>5394.1799999999994</v>
      </c>
    </row>
    <row r="16" spans="1:14" x14ac:dyDescent="0.3">
      <c r="B16" s="7" t="s">
        <v>60</v>
      </c>
      <c r="C16" s="7">
        <f t="shared" ref="C16:L16" si="4">C15/C6</f>
        <v>0.15506383950593511</v>
      </c>
      <c r="D16" s="7">
        <f t="shared" si="4"/>
        <v>0.14421604143944414</v>
      </c>
      <c r="E16" s="7">
        <f t="shared" si="4"/>
        <v>0.13354275672773522</v>
      </c>
      <c r="F16" s="7">
        <f t="shared" si="4"/>
        <v>0.14306190859051271</v>
      </c>
      <c r="G16" s="7">
        <f t="shared" si="4"/>
        <v>0.12997500551518251</v>
      </c>
      <c r="H16" s="7">
        <f t="shared" si="4"/>
        <v>0.1273861493377611</v>
      </c>
      <c r="I16" s="7">
        <f t="shared" si="4"/>
        <v>0.12937757095897515</v>
      </c>
      <c r="J16" s="7">
        <f t="shared" si="4"/>
        <v>0.1380419008681007</v>
      </c>
      <c r="K16" s="7">
        <f t="shared" si="4"/>
        <v>0.15213230137068723</v>
      </c>
      <c r="L16" s="7">
        <f t="shared" si="4"/>
        <v>0.15159200012140442</v>
      </c>
      <c r="N16" t="s">
        <v>120</v>
      </c>
    </row>
    <row r="18" spans="2:12" x14ac:dyDescent="0.3">
      <c r="B18" s="28" t="s">
        <v>61</v>
      </c>
      <c r="C18" s="29">
        <f t="shared" ref="C18:L18" si="5">C12-C15</f>
        <v>2993.76</v>
      </c>
      <c r="D18" s="29">
        <f t="shared" si="5"/>
        <v>3204.0100000000011</v>
      </c>
      <c r="E18" s="29">
        <f t="shared" si="5"/>
        <v>3764.9400000000014</v>
      </c>
      <c r="F18" s="29">
        <f t="shared" si="5"/>
        <v>4161.7699999999977</v>
      </c>
      <c r="G18" s="29">
        <f t="shared" si="5"/>
        <v>4855.6000000000031</v>
      </c>
      <c r="H18" s="29">
        <f t="shared" si="5"/>
        <v>4803.6099999999988</v>
      </c>
      <c r="I18" s="29">
        <f t="shared" si="5"/>
        <v>6259.8399999999956</v>
      </c>
      <c r="J18" s="29">
        <f t="shared" si="5"/>
        <v>7584.9800000000014</v>
      </c>
      <c r="K18" s="29">
        <f t="shared" si="5"/>
        <v>6006.2100000000019</v>
      </c>
      <c r="L18" s="29">
        <f t="shared" si="5"/>
        <v>6699.7300000000041</v>
      </c>
    </row>
    <row r="19" spans="2:12" x14ac:dyDescent="0.3">
      <c r="B19" s="7" t="s">
        <v>62</v>
      </c>
      <c r="C19" s="7">
        <f t="shared" ref="C19:L19" si="6">C18/C6</f>
        <v>0.19876258050895004</v>
      </c>
      <c r="D19" s="7">
        <f t="shared" si="6"/>
        <v>0.19043659414367703</v>
      </c>
      <c r="E19" s="7">
        <f t="shared" si="6"/>
        <v>0.19568163000977651</v>
      </c>
      <c r="F19" s="7">
        <f t="shared" si="6"/>
        <v>0.2059135382522109</v>
      </c>
      <c r="G19" s="7">
        <f t="shared" si="6"/>
        <v>0.22362856178317034</v>
      </c>
      <c r="H19" s="7">
        <f t="shared" si="6"/>
        <v>0.16506524798909186</v>
      </c>
      <c r="I19" s="7">
        <f t="shared" si="6"/>
        <v>0.1815046657459756</v>
      </c>
      <c r="J19" s="7">
        <f t="shared" si="6"/>
        <v>0.21369313134654075</v>
      </c>
      <c r="K19" s="7">
        <f t="shared" si="6"/>
        <v>0.17714496888716388</v>
      </c>
      <c r="L19" s="7">
        <f t="shared" si="6"/>
        <v>0.18828171677129379</v>
      </c>
    </row>
    <row r="20" spans="2:12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x14ac:dyDescent="0.3">
      <c r="B21" s="15" t="s">
        <v>20</v>
      </c>
      <c r="C21" s="15">
        <f>IFERROR('Data Sheet'!B25,0)</f>
        <v>337.9</v>
      </c>
      <c r="D21" s="15">
        <f>IFERROR('Data Sheet'!C25,0)</f>
        <v>336.41</v>
      </c>
      <c r="E21" s="15">
        <f>IFERROR('Data Sheet'!D25,0)</f>
        <v>273.77</v>
      </c>
      <c r="F21" s="15">
        <f>IFERROR('Data Sheet'!E25,0)</f>
        <v>350.1</v>
      </c>
      <c r="G21" s="15">
        <f>IFERROR('Data Sheet'!F25,0)</f>
        <v>331.65</v>
      </c>
      <c r="H21" s="15">
        <f>IFERROR('Data Sheet'!G25,0)</f>
        <v>295.88</v>
      </c>
      <c r="I21" s="15">
        <f>IFERROR('Data Sheet'!H25,0)</f>
        <v>431.46</v>
      </c>
      <c r="J21" s="15">
        <f>IFERROR('Data Sheet'!I25,0)</f>
        <v>820.96</v>
      </c>
      <c r="K21" s="15">
        <f>IFERROR('Data Sheet'!J25,0)</f>
        <v>350.22</v>
      </c>
      <c r="L21" s="15">
        <f>IFERROR('Data Sheet'!K25,0)</f>
        <v>727.97</v>
      </c>
    </row>
    <row r="23" spans="2:12" x14ac:dyDescent="0.3">
      <c r="B23" t="s">
        <v>22</v>
      </c>
      <c r="C23" s="15">
        <f>IFERROR('Data Sheet'!B27,0)</f>
        <v>37.33</v>
      </c>
      <c r="D23" s="15">
        <f>IFERROR('Data Sheet'!C27,0)</f>
        <v>41.47</v>
      </c>
      <c r="E23" s="15">
        <f>IFERROR('Data Sheet'!D27,0)</f>
        <v>110.47</v>
      </c>
      <c r="F23" s="15">
        <f>IFERROR('Data Sheet'!E27,0)</f>
        <v>102.33</v>
      </c>
      <c r="G23" s="15">
        <f>IFERROR('Data Sheet'!F27,0)</f>
        <v>91.63</v>
      </c>
      <c r="H23" s="15">
        <f>IFERROR('Data Sheet'!G27,0)</f>
        <v>95.41</v>
      </c>
      <c r="I23" s="15">
        <f>IFERROR('Data Sheet'!H27,0)</f>
        <v>144.44999999999999</v>
      </c>
      <c r="J23" s="15">
        <f>IFERROR('Data Sheet'!I27,0)</f>
        <v>205.17</v>
      </c>
      <c r="K23" s="15">
        <f>IFERROR('Data Sheet'!J27,0)</f>
        <v>227.02</v>
      </c>
      <c r="L23" s="15">
        <f>IFERROR('Data Sheet'!K27,0)</f>
        <v>195.41</v>
      </c>
    </row>
    <row r="24" spans="2:12" x14ac:dyDescent="0.3">
      <c r="B24" s="7" t="s">
        <v>121</v>
      </c>
      <c r="C24" s="7">
        <f t="shared" ref="C24:L24" si="7">C23/C6</f>
        <v>2.4784241657310885E-3</v>
      </c>
      <c r="D24" s="7">
        <f t="shared" si="7"/>
        <v>2.4648504714836358E-3</v>
      </c>
      <c r="E24" s="7">
        <f t="shared" si="7"/>
        <v>5.7416451967840128E-3</v>
      </c>
      <c r="F24" s="7">
        <f t="shared" si="7"/>
        <v>5.0630218319005502E-3</v>
      </c>
      <c r="G24" s="7">
        <f t="shared" si="7"/>
        <v>4.2200933182700148E-3</v>
      </c>
      <c r="H24" s="7">
        <f t="shared" si="7"/>
        <v>3.2785499469439143E-3</v>
      </c>
      <c r="I24" s="7">
        <f t="shared" si="7"/>
        <v>4.1883417095335005E-3</v>
      </c>
      <c r="J24" s="7">
        <f t="shared" si="7"/>
        <v>5.7802947085384216E-3</v>
      </c>
      <c r="K24" s="7">
        <f t="shared" si="7"/>
        <v>6.6956451467337858E-3</v>
      </c>
      <c r="L24" s="7">
        <f t="shared" si="7"/>
        <v>5.4915840301442741E-3</v>
      </c>
    </row>
    <row r="26" spans="2:12" x14ac:dyDescent="0.3">
      <c r="B26" s="2" t="s">
        <v>21</v>
      </c>
      <c r="C26" s="15">
        <f>IFERROR('Data Sheet'!B26,0)</f>
        <v>334.79</v>
      </c>
      <c r="D26" s="15">
        <f>IFERROR('Data Sheet'!C26,0)</f>
        <v>360.47</v>
      </c>
      <c r="E26" s="15">
        <f>IFERROR('Data Sheet'!D26,0)</f>
        <v>622.14</v>
      </c>
      <c r="F26" s="15">
        <f>IFERROR('Data Sheet'!E26,0)</f>
        <v>780.5</v>
      </c>
      <c r="G26" s="15">
        <f>IFERROR('Data Sheet'!F26,0)</f>
        <v>791.27</v>
      </c>
      <c r="H26" s="15">
        <f>IFERROR('Data Sheet'!G26,0)</f>
        <v>816.36</v>
      </c>
      <c r="I26" s="15">
        <f>IFERROR('Data Sheet'!H26,0)</f>
        <v>858.02</v>
      </c>
      <c r="J26" s="15">
        <f>IFERROR('Data Sheet'!I26,0)</f>
        <v>853</v>
      </c>
      <c r="K26" s="15">
        <f>IFERROR('Data Sheet'!J26,0)</f>
        <v>1026.3399999999999</v>
      </c>
      <c r="L26" s="15">
        <f>IFERROR('Data Sheet'!K26,0)</f>
        <v>1228.8499999999999</v>
      </c>
    </row>
    <row r="27" spans="2:12" x14ac:dyDescent="0.3">
      <c r="B27" s="7" t="s">
        <v>63</v>
      </c>
      <c r="C27" s="7">
        <f t="shared" ref="C27:L27" si="8">C26/C6</f>
        <v>2.2227474590011016E-2</v>
      </c>
      <c r="D27" s="7">
        <f t="shared" si="8"/>
        <v>2.1425238713665449E-2</v>
      </c>
      <c r="E27" s="7">
        <f t="shared" si="8"/>
        <v>3.2335540352378074E-2</v>
      </c>
      <c r="F27" s="7">
        <f t="shared" si="8"/>
        <v>3.8617106809326486E-2</v>
      </c>
      <c r="G27" s="7">
        <f t="shared" si="8"/>
        <v>3.6442576011650275E-2</v>
      </c>
      <c r="H27" s="7">
        <f t="shared" si="8"/>
        <v>2.8052374328551871E-2</v>
      </c>
      <c r="I27" s="7">
        <f t="shared" si="8"/>
        <v>2.4878372818372688E-2</v>
      </c>
      <c r="J27" s="7">
        <f t="shared" si="8"/>
        <v>2.4031736542297968E-2</v>
      </c>
      <c r="K27" s="7">
        <f t="shared" si="8"/>
        <v>3.0270497929251843E-2</v>
      </c>
      <c r="L27" s="7">
        <f t="shared" si="8"/>
        <v>3.4534225656019608E-2</v>
      </c>
    </row>
    <row r="29" spans="2:12" x14ac:dyDescent="0.3">
      <c r="B29" s="28" t="s">
        <v>66</v>
      </c>
      <c r="C29" s="29">
        <f t="shared" ref="C29:L29" si="9">IFERROR(C18+C21-C23-C26,0)</f>
        <v>2959.5400000000004</v>
      </c>
      <c r="D29" s="29">
        <f t="shared" si="9"/>
        <v>3138.4800000000014</v>
      </c>
      <c r="E29" s="29">
        <f t="shared" si="9"/>
        <v>3306.1000000000017</v>
      </c>
      <c r="F29" s="29">
        <f t="shared" si="9"/>
        <v>3629.0399999999981</v>
      </c>
      <c r="G29" s="29">
        <f t="shared" si="9"/>
        <v>4304.3500000000022</v>
      </c>
      <c r="H29" s="29">
        <f t="shared" si="9"/>
        <v>4187.7199999999993</v>
      </c>
      <c r="I29" s="29">
        <f t="shared" si="9"/>
        <v>5688.8299999999963</v>
      </c>
      <c r="J29" s="29">
        <f t="shared" si="9"/>
        <v>7347.7700000000023</v>
      </c>
      <c r="K29" s="29">
        <f t="shared" si="9"/>
        <v>5103.0700000000015</v>
      </c>
      <c r="L29" s="29">
        <f t="shared" si="9"/>
        <v>6003.4400000000041</v>
      </c>
    </row>
    <row r="30" spans="2:12" x14ac:dyDescent="0.3">
      <c r="B30" s="7" t="s">
        <v>67</v>
      </c>
      <c r="C30" s="7">
        <f t="shared" ref="C30:L30" si="10">C29/C6</f>
        <v>0.19649063636345532</v>
      </c>
      <c r="D30" s="7">
        <f t="shared" si="10"/>
        <v>0.18654169056527523</v>
      </c>
      <c r="E30" s="7">
        <f t="shared" si="10"/>
        <v>0.17183355829716335</v>
      </c>
      <c r="F30" s="7">
        <f t="shared" si="10"/>
        <v>0.17955544560578876</v>
      </c>
      <c r="G30" s="7">
        <f t="shared" si="10"/>
        <v>0.1982402998417063</v>
      </c>
      <c r="H30" s="7">
        <f t="shared" si="10"/>
        <v>0.1439015740888373</v>
      </c>
      <c r="I30" s="7">
        <f t="shared" si="10"/>
        <v>0.16494817561402181</v>
      </c>
      <c r="J30" s="7">
        <f t="shared" si="10"/>
        <v>0.20701016742485437</v>
      </c>
      <c r="K30" s="7">
        <f t="shared" si="10"/>
        <v>0.15050808685993652</v>
      </c>
      <c r="L30" s="7">
        <f t="shared" si="10"/>
        <v>0.1687139615676238</v>
      </c>
    </row>
    <row r="32" spans="2:12" x14ac:dyDescent="0.3">
      <c r="B32" t="s">
        <v>24</v>
      </c>
      <c r="C32" s="15">
        <f>IFERROR('Data Sheet'!B29,0)</f>
        <v>943.29</v>
      </c>
      <c r="D32" s="15">
        <f>IFERROR('Data Sheet'!C29,0)</f>
        <v>1040.96</v>
      </c>
      <c r="E32" s="15">
        <f>IFERROR('Data Sheet'!D29,0)</f>
        <v>1098.06</v>
      </c>
      <c r="F32" s="15">
        <f>IFERROR('Data Sheet'!E29,0)</f>
        <v>854.85</v>
      </c>
      <c r="G32" s="15">
        <f>IFERROR('Data Sheet'!F29,0)</f>
        <v>1097.5999999999999</v>
      </c>
      <c r="H32" s="15">
        <f>IFERROR('Data Sheet'!G29,0)</f>
        <v>1102.9100000000001</v>
      </c>
      <c r="I32" s="15">
        <f>IFERROR('Data Sheet'!H29,0)</f>
        <v>1493.5</v>
      </c>
      <c r="J32" s="15">
        <f>IFERROR('Data Sheet'!I29,0)</f>
        <v>1790.08</v>
      </c>
      <c r="K32" s="15">
        <f>IFERROR('Data Sheet'!J29,0)</f>
        <v>1393.36</v>
      </c>
      <c r="L32" s="15">
        <f>IFERROR('Data Sheet'!K29,0)</f>
        <v>1608.75</v>
      </c>
    </row>
    <row r="33" spans="1:12" x14ac:dyDescent="0.3">
      <c r="B33" s="7" t="s">
        <v>68</v>
      </c>
      <c r="C33" s="7">
        <f t="shared" ref="C33:L33" si="11">C32/C29</f>
        <v>0.31872858619920658</v>
      </c>
      <c r="D33" s="7">
        <f t="shared" si="11"/>
        <v>0.33167648033442926</v>
      </c>
      <c r="E33" s="7">
        <f t="shared" si="11"/>
        <v>0.33213151447324624</v>
      </c>
      <c r="F33" s="7">
        <f t="shared" si="11"/>
        <v>0.23555816414258329</v>
      </c>
      <c r="G33" s="7">
        <f t="shared" si="11"/>
        <v>0.25499785101118622</v>
      </c>
      <c r="H33" s="7">
        <f t="shared" si="11"/>
        <v>0.26336765590822697</v>
      </c>
      <c r="I33" s="7">
        <f t="shared" si="11"/>
        <v>0.26253201449155644</v>
      </c>
      <c r="J33" s="7">
        <f t="shared" si="11"/>
        <v>0.24362221463110567</v>
      </c>
      <c r="K33" s="7">
        <f t="shared" si="11"/>
        <v>0.27304348166887765</v>
      </c>
      <c r="L33" s="7">
        <f t="shared" si="11"/>
        <v>0.26797136308516434</v>
      </c>
    </row>
    <row r="35" spans="1:12" x14ac:dyDescent="0.3">
      <c r="B35" s="28" t="s">
        <v>69</v>
      </c>
      <c r="C35" s="29">
        <f>IFERROR('Data Sheet'!B30,0)</f>
        <v>1939.43</v>
      </c>
      <c r="D35" s="29">
        <f>IFERROR('Data Sheet'!C30,0)</f>
        <v>2038.93</v>
      </c>
      <c r="E35" s="29">
        <f>IFERROR('Data Sheet'!D30,0)</f>
        <v>2155.92</v>
      </c>
      <c r="F35" s="29">
        <f>IFERROR('Data Sheet'!E30,0)</f>
        <v>2705.17</v>
      </c>
      <c r="G35" s="29">
        <f>IFERROR('Data Sheet'!F30,0)</f>
        <v>3139.29</v>
      </c>
      <c r="H35" s="29">
        <f>IFERROR('Data Sheet'!G30,0)</f>
        <v>3030.57</v>
      </c>
      <c r="I35" s="29">
        <f>IFERROR('Data Sheet'!H30,0)</f>
        <v>4106.45</v>
      </c>
      <c r="J35" s="29">
        <f>IFERROR('Data Sheet'!I30,0)</f>
        <v>5460.23</v>
      </c>
      <c r="K35" s="29">
        <f>IFERROR('Data Sheet'!J30,0)</f>
        <v>3667.23</v>
      </c>
      <c r="L35" s="29">
        <f>IFERROR('Data Sheet'!K30,0)</f>
        <v>4325.3500000000004</v>
      </c>
    </row>
    <row r="36" spans="1:12" x14ac:dyDescent="0.3">
      <c r="B36" s="7" t="s">
        <v>70</v>
      </c>
      <c r="C36" s="7">
        <f t="shared" ref="C36:L36" si="12">C35/C6</f>
        <v>0.12876319795724203</v>
      </c>
      <c r="D36" s="7">
        <f t="shared" si="12"/>
        <v>0.12118778808348515</v>
      </c>
      <c r="E36" s="7">
        <f t="shared" si="12"/>
        <v>0.11205329693718286</v>
      </c>
      <c r="F36" s="7">
        <f t="shared" si="12"/>
        <v>0.13384476467313997</v>
      </c>
      <c r="G36" s="7">
        <f t="shared" si="12"/>
        <v>0.14458252486207437</v>
      </c>
      <c r="H36" s="7">
        <f t="shared" si="12"/>
        <v>0.10413871829692715</v>
      </c>
      <c r="I36" s="7">
        <f t="shared" si="12"/>
        <v>0.11906691459407301</v>
      </c>
      <c r="J36" s="7">
        <f t="shared" si="12"/>
        <v>0.15383213226301479</v>
      </c>
      <c r="K36" s="7">
        <f t="shared" si="12"/>
        <v>0.10815994516543274</v>
      </c>
      <c r="L36" s="7">
        <f t="shared" si="12"/>
        <v>0.12155479752717127</v>
      </c>
    </row>
    <row r="38" spans="1:12" x14ac:dyDescent="0.3">
      <c r="B38" t="s">
        <v>71</v>
      </c>
      <c r="C38" s="15">
        <f>IFERROR('Data Sheet'!B93,0)</f>
        <v>95.92</v>
      </c>
      <c r="D38" s="15">
        <f>IFERROR('Data Sheet'!C93,0)</f>
        <v>95.92</v>
      </c>
      <c r="E38" s="15">
        <f>IFERROR('Data Sheet'!D93,0)</f>
        <v>95.92</v>
      </c>
      <c r="F38" s="15">
        <f>IFERROR('Data Sheet'!E93,0)</f>
        <v>95.92</v>
      </c>
      <c r="G38" s="15">
        <f>IFERROR('Data Sheet'!F93,0)</f>
        <v>95.92</v>
      </c>
      <c r="H38" s="15">
        <f>IFERROR('Data Sheet'!G93,0)</f>
        <v>95.92</v>
      </c>
      <c r="I38" s="15">
        <f>IFERROR('Data Sheet'!H93,0)</f>
        <v>95.92</v>
      </c>
      <c r="J38" s="15">
        <f>IFERROR('Data Sheet'!I93,0)</f>
        <v>95.92</v>
      </c>
      <c r="K38" s="15">
        <f>IFERROR('Data Sheet'!J93,0)</f>
        <v>95.92</v>
      </c>
      <c r="L38" s="15">
        <f>IFERROR('Data Sheet'!K93,0)</f>
        <v>95.92</v>
      </c>
    </row>
    <row r="39" spans="1:12" x14ac:dyDescent="0.3">
      <c r="B39" s="7" t="s">
        <v>108</v>
      </c>
      <c r="C39" s="7">
        <f>IFERROR((C35-'Data Sheet'!B31)/C35,0)</f>
        <v>0.49058228448564783</v>
      </c>
      <c r="D39" s="7">
        <f>IFERROR((D35-'Data Sheet'!C31)/D35,0)</f>
        <v>0.59071669944529726</v>
      </c>
      <c r="E39" s="7">
        <f>IFERROR((E35-'Data Sheet'!D31)/E35,0)</f>
        <v>0.53283980852721813</v>
      </c>
      <c r="F39" s="7">
        <f>IFERROR((F35-'Data Sheet'!E31)/F35,0)</f>
        <v>0.57450363563103246</v>
      </c>
      <c r="G39" s="7">
        <f>IFERROR((G35-'Data Sheet'!F31)/G35,0)</f>
        <v>0.45459960691748769</v>
      </c>
      <c r="H39" s="7">
        <f>IFERROR((H35-'Data Sheet'!G31)/H35,0)</f>
        <v>0.3938862986170919</v>
      </c>
      <c r="I39" s="7">
        <f>IFERROR((I35-'Data Sheet'!H31)/I35,0)</f>
        <v>0.40085718808216342</v>
      </c>
      <c r="J39" s="7">
        <f>IFERROR((J35-'Data Sheet'!I31)/J35,0)</f>
        <v>0.41501731612038317</v>
      </c>
      <c r="K39" s="7">
        <f>IFERROR((K35-'Data Sheet'!J31)/K35,0)</f>
        <v>0.35133056830359694</v>
      </c>
      <c r="L39" s="7">
        <f>IFERROR((L35-'Data Sheet'!K31)/L35,0)</f>
        <v>0.39015339799091403</v>
      </c>
    </row>
    <row r="40" spans="1:12" x14ac:dyDescent="0.3"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3">
      <c r="B41" t="s">
        <v>72</v>
      </c>
      <c r="C41" s="15">
        <f t="shared" ref="C41:L41" si="13">IFERROR(C35/C38,0)</f>
        <v>20.219245204336946</v>
      </c>
      <c r="D41" s="15">
        <f t="shared" si="13"/>
        <v>21.256567973311093</v>
      </c>
      <c r="E41" s="15">
        <f t="shared" si="13"/>
        <v>22.476230191826524</v>
      </c>
      <c r="F41" s="15">
        <f t="shared" si="13"/>
        <v>28.202356130108424</v>
      </c>
      <c r="G41" s="15">
        <f t="shared" si="13"/>
        <v>32.728211009174309</v>
      </c>
      <c r="H41" s="15">
        <f t="shared" si="13"/>
        <v>31.594766472060051</v>
      </c>
      <c r="I41" s="15">
        <f t="shared" si="13"/>
        <v>42.811196830692239</v>
      </c>
      <c r="J41" s="15">
        <f t="shared" si="13"/>
        <v>56.924833194328599</v>
      </c>
      <c r="K41" s="15">
        <f t="shared" si="13"/>
        <v>38.232172643869895</v>
      </c>
      <c r="L41" s="15">
        <f t="shared" si="13"/>
        <v>45.093306922435367</v>
      </c>
    </row>
    <row r="42" spans="1:12" x14ac:dyDescent="0.3">
      <c r="B42" s="7" t="s">
        <v>74</v>
      </c>
      <c r="C42" s="7"/>
      <c r="D42" s="7">
        <f t="shared" ref="D42:L42" si="14">D41/C41-1</f>
        <v>5.130373357120388E-2</v>
      </c>
      <c r="E42" s="7">
        <f t="shared" si="14"/>
        <v>5.7378134609819886E-2</v>
      </c>
      <c r="F42" s="7">
        <f t="shared" si="14"/>
        <v>0.25476362759286042</v>
      </c>
      <c r="G42" s="7">
        <f t="shared" si="14"/>
        <v>0.16047789972534066</v>
      </c>
      <c r="H42" s="7">
        <f t="shared" si="14"/>
        <v>-3.4632034632034459E-2</v>
      </c>
      <c r="I42" s="7">
        <f t="shared" si="14"/>
        <v>0.35500912369620208</v>
      </c>
      <c r="J42" s="7">
        <f t="shared" si="14"/>
        <v>0.32967161416795521</v>
      </c>
      <c r="K42" s="7">
        <f t="shared" si="14"/>
        <v>-0.32837444576510499</v>
      </c>
      <c r="L42" s="7">
        <f t="shared" si="14"/>
        <v>0.17945970119136234</v>
      </c>
    </row>
    <row r="44" spans="1:12" x14ac:dyDescent="0.3">
      <c r="B44" t="s">
        <v>73</v>
      </c>
      <c r="C44" s="15">
        <f>IFERROR('Data Sheet'!B31/C38,0)</f>
        <v>10.300041701417848</v>
      </c>
      <c r="D44" s="15">
        <f>IFERROR('Data Sheet'!C31/D38,0)</f>
        <v>8.6999582985821515</v>
      </c>
      <c r="E44" s="15">
        <f>IFERROR('Data Sheet'!D31/E38,0)</f>
        <v>10.5</v>
      </c>
      <c r="F44" s="15">
        <f>IFERROR('Data Sheet'!E31/F38,0)</f>
        <v>12</v>
      </c>
      <c r="G44" s="15">
        <f>IFERROR('Data Sheet'!F31/G38,0)</f>
        <v>17.849979149291077</v>
      </c>
      <c r="H44" s="15">
        <f>IFERROR('Data Sheet'!G31/H38,0)</f>
        <v>19.150020850708923</v>
      </c>
      <c r="I44" s="15">
        <f>IFERROR('Data Sheet'!H31/I38,0)</f>
        <v>25.650020850708923</v>
      </c>
      <c r="J44" s="15">
        <f>IFERROR('Data Sheet'!I31/J38,0)</f>
        <v>33.300041701417847</v>
      </c>
      <c r="K44" s="15">
        <f>IFERROR('Data Sheet'!J31/K38,0)</f>
        <v>24.80004170141785</v>
      </c>
      <c r="L44" s="15">
        <f>IFERROR('Data Sheet'!K31/L38,0)</f>
        <v>27.5</v>
      </c>
    </row>
    <row r="45" spans="1:12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3">
      <c r="A46" s="12" t="s">
        <v>65</v>
      </c>
      <c r="B46" s="11" t="s">
        <v>75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8" spans="1:12" x14ac:dyDescent="0.3">
      <c r="B48" s="2" t="s">
        <v>31</v>
      </c>
      <c r="C48" s="20">
        <f>IFERROR('Data Sheet'!B57,0)</f>
        <v>95.92</v>
      </c>
      <c r="D48" s="20">
        <f>IFERROR('Data Sheet'!C57,0)</f>
        <v>95.92</v>
      </c>
      <c r="E48" s="20">
        <f>IFERROR('Data Sheet'!D57,0)</f>
        <v>95.92</v>
      </c>
      <c r="F48" s="20">
        <f>IFERROR('Data Sheet'!E57,0)</f>
        <v>95.92</v>
      </c>
      <c r="G48" s="20">
        <f>IFERROR('Data Sheet'!F57,0)</f>
        <v>95.92</v>
      </c>
      <c r="H48" s="20">
        <f>IFERROR('Data Sheet'!G57,0)</f>
        <v>95.92</v>
      </c>
      <c r="I48" s="20">
        <f>IFERROR('Data Sheet'!H57,0)</f>
        <v>95.92</v>
      </c>
      <c r="J48" s="20">
        <f>IFERROR('Data Sheet'!I57,0)</f>
        <v>95.92</v>
      </c>
      <c r="K48" s="20">
        <f>IFERROR('Data Sheet'!J57,0)</f>
        <v>95.92</v>
      </c>
      <c r="L48" s="20">
        <f>IFERROR('Data Sheet'!K57,0)</f>
        <v>95.92</v>
      </c>
    </row>
    <row r="49" spans="2:12" x14ac:dyDescent="0.3">
      <c r="B49" s="2" t="s">
        <v>32</v>
      </c>
      <c r="C49" s="20">
        <f>IFERROR('Data Sheet'!B58,0)</f>
        <v>7507.97</v>
      </c>
      <c r="D49" s="20">
        <f>IFERROR('Data Sheet'!C58,0)</f>
        <v>8314.31</v>
      </c>
      <c r="E49" s="20">
        <f>IFERROR('Data Sheet'!D58,0)</f>
        <v>9374.6299999999992</v>
      </c>
      <c r="F49" s="20">
        <f>IFERROR('Data Sheet'!E58,0)</f>
        <v>10034.24</v>
      </c>
      <c r="G49" s="20">
        <f>IFERROR('Data Sheet'!F58,0)</f>
        <v>12710.37</v>
      </c>
      <c r="H49" s="20">
        <f>IFERROR('Data Sheet'!G58,0)</f>
        <v>13715.64</v>
      </c>
      <c r="I49" s="20">
        <f>IFERROR('Data Sheet'!H58,0)</f>
        <v>15896.31</v>
      </c>
      <c r="J49" s="20">
        <f>IFERROR('Data Sheet'!I58,0)</f>
        <v>18632.38</v>
      </c>
      <c r="K49" s="20">
        <f>IFERROR('Data Sheet'!J58,0)</f>
        <v>19303.89</v>
      </c>
      <c r="L49" s="20">
        <f>IFERROR('Data Sheet'!K58,0)</f>
        <v>21275.67</v>
      </c>
    </row>
    <row r="50" spans="2:12" x14ac:dyDescent="0.3">
      <c r="B50" s="2" t="s">
        <v>33</v>
      </c>
      <c r="C50" s="20">
        <f>IFERROR('Data Sheet'!B59,0)</f>
        <v>560.34</v>
      </c>
      <c r="D50" s="20">
        <f>IFERROR('Data Sheet'!C59,0)</f>
        <v>533.42999999999995</v>
      </c>
      <c r="E50" s="20">
        <f>IFERROR('Data Sheet'!D59,0)</f>
        <v>1319.6</v>
      </c>
      <c r="F50" s="20">
        <f>IFERROR('Data Sheet'!E59,0)</f>
        <v>1118.5</v>
      </c>
      <c r="G50" s="20">
        <f>IFERROR('Data Sheet'!F59,0)</f>
        <v>1093.1199999999999</v>
      </c>
      <c r="H50" s="20">
        <f>IFERROR('Data Sheet'!G59,0)</f>
        <v>1586.88</v>
      </c>
      <c r="I50" s="20">
        <f>IFERROR('Data Sheet'!H59,0)</f>
        <v>1932.62</v>
      </c>
      <c r="J50" s="20">
        <f>IFERROR('Data Sheet'!I59,0)</f>
        <v>2474.38</v>
      </c>
      <c r="K50" s="20">
        <f>IFERROR('Data Sheet'!J59,0)</f>
        <v>2290.29</v>
      </c>
      <c r="L50" s="20">
        <f>IFERROR('Data Sheet'!K59,0)</f>
        <v>3928.93</v>
      </c>
    </row>
    <row r="51" spans="2:12" x14ac:dyDescent="0.3">
      <c r="B51" s="2" t="s">
        <v>34</v>
      </c>
      <c r="C51" s="20">
        <f>IFERROR('Data Sheet'!B60,0)</f>
        <v>4240.96</v>
      </c>
      <c r="D51" s="20">
        <f>IFERROR('Data Sheet'!C60,0)</f>
        <v>4819.82</v>
      </c>
      <c r="E51" s="20">
        <f>IFERROR('Data Sheet'!D60,0)</f>
        <v>5458.69</v>
      </c>
      <c r="F51" s="20">
        <f>IFERROR('Data Sheet'!E60,0)</f>
        <v>4889.3100000000004</v>
      </c>
      <c r="G51" s="20">
        <f>IFERROR('Data Sheet'!F60,0)</f>
        <v>6455.93</v>
      </c>
      <c r="H51" s="20">
        <f>IFERROR('Data Sheet'!G60,0)</f>
        <v>7559.99</v>
      </c>
      <c r="I51" s="20">
        <f>IFERROR('Data Sheet'!H60,0)</f>
        <v>7854.48</v>
      </c>
      <c r="J51" s="20">
        <f>IFERROR('Data Sheet'!I60,0)</f>
        <v>8698.09</v>
      </c>
      <c r="K51" s="20">
        <f>IFERROR('Data Sheet'!J60,0)</f>
        <v>8665.15</v>
      </c>
      <c r="L51" s="20">
        <f>IFERROR('Data Sheet'!K60,0)</f>
        <v>9218.23</v>
      </c>
    </row>
    <row r="52" spans="2:12" x14ac:dyDescent="0.3">
      <c r="B52" s="30" t="s">
        <v>76</v>
      </c>
      <c r="C52" s="31">
        <f>IFERROR('Data Sheet'!B61,0)</f>
        <v>12405.19</v>
      </c>
      <c r="D52" s="31">
        <f>IFERROR('Data Sheet'!C61,0)</f>
        <v>13763.48</v>
      </c>
      <c r="E52" s="31">
        <f>IFERROR('Data Sheet'!D61,0)</f>
        <v>16248.84</v>
      </c>
      <c r="F52" s="31">
        <f>IFERROR('Data Sheet'!E61,0)</f>
        <v>16137.97</v>
      </c>
      <c r="G52" s="31">
        <f>IFERROR('Data Sheet'!F61,0)</f>
        <v>20355.34</v>
      </c>
      <c r="H52" s="31">
        <f>IFERROR('Data Sheet'!G61,0)</f>
        <v>22958.43</v>
      </c>
      <c r="I52" s="31">
        <f>IFERROR('Data Sheet'!H61,0)</f>
        <v>25779.33</v>
      </c>
      <c r="J52" s="31">
        <f>IFERROR('Data Sheet'!I61,0)</f>
        <v>29900.77</v>
      </c>
      <c r="K52" s="31">
        <f>IFERROR('Data Sheet'!J61,0)</f>
        <v>30355.25</v>
      </c>
      <c r="L52" s="31">
        <f>IFERROR('Data Sheet'!K61,0)</f>
        <v>34518.75</v>
      </c>
    </row>
    <row r="53" spans="2:12" x14ac:dyDescent="0.3">
      <c r="B53" s="1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spans="2:12" x14ac:dyDescent="0.3">
      <c r="B54" s="2" t="s">
        <v>77</v>
      </c>
      <c r="C54" s="20">
        <f>IFERROR('Data Sheet'!B62,0)</f>
        <v>3303.74</v>
      </c>
      <c r="D54" s="20">
        <f>IFERROR('Data Sheet'!C62,0)</f>
        <v>3732.24</v>
      </c>
      <c r="E54" s="20">
        <f>IFERROR('Data Sheet'!D62,0)</f>
        <v>6496.56</v>
      </c>
      <c r="F54" s="20">
        <f>IFERROR('Data Sheet'!E62,0)</f>
        <v>6272.31</v>
      </c>
      <c r="G54" s="20">
        <f>IFERROR('Data Sheet'!F62,0)</f>
        <v>5858.52</v>
      </c>
      <c r="H54" s="20">
        <f>IFERROR('Data Sheet'!G62,0)</f>
        <v>5519.06</v>
      </c>
      <c r="I54" s="20">
        <f>IFERROR('Data Sheet'!H62,0)</f>
        <v>5770.46</v>
      </c>
      <c r="J54" s="20">
        <f>IFERROR('Data Sheet'!I62,0)</f>
        <v>7146.62</v>
      </c>
      <c r="K54" s="20">
        <f>IFERROR('Data Sheet'!J62,0)</f>
        <v>9220.1</v>
      </c>
      <c r="L54" s="20">
        <f>IFERROR('Data Sheet'!K62,0)</f>
        <v>9640.2800000000007</v>
      </c>
    </row>
    <row r="55" spans="2:12" x14ac:dyDescent="0.3">
      <c r="B55" s="2" t="s">
        <v>37</v>
      </c>
      <c r="C55" s="20">
        <f>IFERROR('Data Sheet'!B63,0)</f>
        <v>257.54000000000002</v>
      </c>
      <c r="D55" s="20">
        <f>IFERROR('Data Sheet'!C63,0)</f>
        <v>1405.11</v>
      </c>
      <c r="E55" s="20">
        <f>IFERROR('Data Sheet'!D63,0)</f>
        <v>209.67</v>
      </c>
      <c r="F55" s="20">
        <f>IFERROR('Data Sheet'!E63,0)</f>
        <v>140.24</v>
      </c>
      <c r="G55" s="20">
        <f>IFERROR('Data Sheet'!F63,0)</f>
        <v>182.98</v>
      </c>
      <c r="H55" s="20">
        <f>IFERROR('Data Sheet'!G63,0)</f>
        <v>426.43</v>
      </c>
      <c r="I55" s="20">
        <f>IFERROR('Data Sheet'!H63,0)</f>
        <v>1019.59</v>
      </c>
      <c r="J55" s="20">
        <f>IFERROR('Data Sheet'!I63,0)</f>
        <v>2698.37</v>
      </c>
      <c r="K55" s="20">
        <f>IFERROR('Data Sheet'!J63,0)</f>
        <v>1254.49</v>
      </c>
      <c r="L55" s="20">
        <f>IFERROR('Data Sheet'!K63,0)</f>
        <v>1848.67</v>
      </c>
    </row>
    <row r="56" spans="2:12" x14ac:dyDescent="0.3">
      <c r="B56" s="2" t="s">
        <v>38</v>
      </c>
      <c r="C56" s="20">
        <f>IFERROR('Data Sheet'!B64,0)</f>
        <v>2651.99</v>
      </c>
      <c r="D56" s="20">
        <f>IFERROR('Data Sheet'!C64,0)</f>
        <v>2140.6999999999998</v>
      </c>
      <c r="E56" s="20">
        <f>IFERROR('Data Sheet'!D64,0)</f>
        <v>2568.58</v>
      </c>
      <c r="F56" s="20">
        <f>IFERROR('Data Sheet'!E64,0)</f>
        <v>2018.85</v>
      </c>
      <c r="G56" s="20">
        <f>IFERROR('Data Sheet'!F64,0)</f>
        <v>4736.8</v>
      </c>
      <c r="H56" s="20">
        <f>IFERROR('Data Sheet'!G64,0)</f>
        <v>3247.53</v>
      </c>
      <c r="I56" s="20">
        <f>IFERROR('Data Sheet'!H64,0)</f>
        <v>4261.71</v>
      </c>
      <c r="J56" s="20">
        <f>IFERROR('Data Sheet'!I64,0)</f>
        <v>4587.92</v>
      </c>
      <c r="K56" s="20">
        <f>IFERROR('Data Sheet'!J64,0)</f>
        <v>4724.75</v>
      </c>
      <c r="L56" s="20">
        <f>IFERROR('Data Sheet'!K64,0)</f>
        <v>7061.74</v>
      </c>
    </row>
    <row r="57" spans="2:12" x14ac:dyDescent="0.3">
      <c r="B57" s="2" t="s">
        <v>39</v>
      </c>
      <c r="C57" s="20">
        <f>IFERROR('Data Sheet'!B65-SUM('Data Sheet'!B67:B69),0)</f>
        <v>1317.17</v>
      </c>
      <c r="D57" s="20">
        <f>IFERROR('Data Sheet'!C65-SUM('Data Sheet'!C67:C69),0)</f>
        <v>1691.8400000000001</v>
      </c>
      <c r="E57" s="20">
        <f>IFERROR('Data Sheet'!D65-SUM('Data Sheet'!D67:D69),0)</f>
        <v>1471.9599999999991</v>
      </c>
      <c r="F57" s="20">
        <f>IFERROR('Data Sheet'!E65-SUM('Data Sheet'!E67:E69),0)</f>
        <v>1738.71</v>
      </c>
      <c r="G57" s="20">
        <f>IFERROR('Data Sheet'!F65-SUM('Data Sheet'!F67:F69),0)</f>
        <v>2565.5200000000004</v>
      </c>
      <c r="H57" s="20">
        <f>IFERROR('Data Sheet'!G65-SUM('Data Sheet'!G67:G69),0)</f>
        <v>2876.66</v>
      </c>
      <c r="I57" s="20">
        <f>IFERROR('Data Sheet'!H65-SUM('Data Sheet'!H67:H69),0)</f>
        <v>3036.17</v>
      </c>
      <c r="J57" s="20">
        <f>IFERROR('Data Sheet'!I65-SUM('Data Sheet'!I67:I69),0)</f>
        <v>3571.3900000000012</v>
      </c>
      <c r="K57" s="20">
        <f>IFERROR('Data Sheet'!J65-SUM('Data Sheet'!J67:J69),0)</f>
        <v>3341.01</v>
      </c>
      <c r="L57" s="20">
        <f>IFERROR('Data Sheet'!K65-SUM('Data Sheet'!K67:K69),0)</f>
        <v>4688.8899999999994</v>
      </c>
    </row>
    <row r="58" spans="2:12" x14ac:dyDescent="0.3">
      <c r="B58" s="30" t="s">
        <v>122</v>
      </c>
      <c r="C58" s="31">
        <f t="shared" ref="C58:L58" si="15">IFERROR(SUM(C54:C57),0)</f>
        <v>7530.44</v>
      </c>
      <c r="D58" s="31">
        <f t="shared" si="15"/>
        <v>8969.89</v>
      </c>
      <c r="E58" s="31">
        <f t="shared" si="15"/>
        <v>10746.77</v>
      </c>
      <c r="F58" s="31">
        <f t="shared" si="15"/>
        <v>10170.11</v>
      </c>
      <c r="G58" s="31">
        <f t="shared" si="15"/>
        <v>13343.82</v>
      </c>
      <c r="H58" s="31">
        <f t="shared" si="15"/>
        <v>12069.68</v>
      </c>
      <c r="I58" s="31">
        <f t="shared" si="15"/>
        <v>14087.93</v>
      </c>
      <c r="J58" s="31">
        <f t="shared" si="15"/>
        <v>18004.300000000003</v>
      </c>
      <c r="K58" s="31">
        <f t="shared" si="15"/>
        <v>18540.349999999999</v>
      </c>
      <c r="L58" s="31">
        <f t="shared" si="15"/>
        <v>23239.58</v>
      </c>
    </row>
    <row r="59" spans="2:12" x14ac:dyDescent="0.3">
      <c r="B59" s="1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spans="2:12" x14ac:dyDescent="0.3">
      <c r="B60" s="2" t="s">
        <v>40</v>
      </c>
      <c r="C60" s="20">
        <f>IFERROR('Data Sheet'!B67,0)</f>
        <v>1446.6</v>
      </c>
      <c r="D60" s="20">
        <f>IFERROR('Data Sheet'!C67,0)</f>
        <v>1730.63</v>
      </c>
      <c r="E60" s="20">
        <f>IFERROR('Data Sheet'!D67,0)</f>
        <v>1907.33</v>
      </c>
      <c r="F60" s="20">
        <f>IFERROR('Data Sheet'!E67,0)</f>
        <v>1795.22</v>
      </c>
      <c r="G60" s="20">
        <f>IFERROR('Data Sheet'!F67,0)</f>
        <v>2602.17</v>
      </c>
      <c r="H60" s="20">
        <f>IFERROR('Data Sheet'!G67,0)</f>
        <v>3871.44</v>
      </c>
      <c r="I60" s="20">
        <f>IFERROR('Data Sheet'!H67,0)</f>
        <v>4636.9399999999996</v>
      </c>
      <c r="J60" s="20">
        <f>IFERROR('Data Sheet'!I67,0)</f>
        <v>4889.05</v>
      </c>
      <c r="K60" s="20">
        <f>IFERROR('Data Sheet'!J67,0)</f>
        <v>4313.6499999999996</v>
      </c>
      <c r="L60" s="20">
        <f>IFERROR('Data Sheet'!K67,0)</f>
        <v>4461.8</v>
      </c>
    </row>
    <row r="61" spans="2:12" x14ac:dyDescent="0.3">
      <c r="B61" s="2" t="s">
        <v>41</v>
      </c>
      <c r="C61" s="20">
        <f>IFERROR('Data Sheet'!B68,0)</f>
        <v>2626.94</v>
      </c>
      <c r="D61" s="20">
        <f>IFERROR('Data Sheet'!C68,0)</f>
        <v>2658.31</v>
      </c>
      <c r="E61" s="20">
        <f>IFERROR('Data Sheet'!D68,0)</f>
        <v>3149.86</v>
      </c>
      <c r="F61" s="20">
        <f>IFERROR('Data Sheet'!E68,0)</f>
        <v>3389.81</v>
      </c>
      <c r="G61" s="20">
        <f>IFERROR('Data Sheet'!F68,0)</f>
        <v>3798.6</v>
      </c>
      <c r="H61" s="20">
        <f>IFERROR('Data Sheet'!G68,0)</f>
        <v>6152.98</v>
      </c>
      <c r="I61" s="20">
        <f>IFERROR('Data Sheet'!H68,0)</f>
        <v>6210.64</v>
      </c>
      <c r="J61" s="20">
        <f>IFERROR('Data Sheet'!I68,0)</f>
        <v>5923.41</v>
      </c>
      <c r="K61" s="20">
        <f>IFERROR('Data Sheet'!J68,0)</f>
        <v>6719.27</v>
      </c>
      <c r="L61" s="20">
        <f>IFERROR('Data Sheet'!K68,0)</f>
        <v>5743.69</v>
      </c>
    </row>
    <row r="62" spans="2:12" x14ac:dyDescent="0.3">
      <c r="B62" s="2" t="s">
        <v>42</v>
      </c>
      <c r="C62" s="20">
        <f>IFERROR('Data Sheet'!B69,0)</f>
        <v>801.21</v>
      </c>
      <c r="D62" s="20">
        <f>IFERROR('Data Sheet'!C69,0)</f>
        <v>404.65</v>
      </c>
      <c r="E62" s="20">
        <f>IFERROR('Data Sheet'!D69,0)</f>
        <v>444.88</v>
      </c>
      <c r="F62" s="20">
        <f>IFERROR('Data Sheet'!E69,0)</f>
        <v>782.83</v>
      </c>
      <c r="G62" s="20">
        <f>IFERROR('Data Sheet'!F69,0)</f>
        <v>610.75</v>
      </c>
      <c r="H62" s="20">
        <f>IFERROR('Data Sheet'!G69,0)</f>
        <v>864.33</v>
      </c>
      <c r="I62" s="20">
        <f>IFERROR('Data Sheet'!H69,0)</f>
        <v>843.82</v>
      </c>
      <c r="J62" s="20">
        <f>IFERROR('Data Sheet'!I69,0)</f>
        <v>1084.01</v>
      </c>
      <c r="K62" s="20">
        <f>IFERROR('Data Sheet'!J69,0)</f>
        <v>781.98</v>
      </c>
      <c r="L62" s="20">
        <f>IFERROR('Data Sheet'!K69,0)</f>
        <v>1073.68</v>
      </c>
    </row>
    <row r="63" spans="2:12" x14ac:dyDescent="0.3">
      <c r="B63" s="32" t="s">
        <v>78</v>
      </c>
      <c r="C63" s="31">
        <f t="shared" ref="C63:L63" si="16">IFERROR(SUM(C60:C62),0)</f>
        <v>4874.75</v>
      </c>
      <c r="D63" s="31">
        <f t="shared" si="16"/>
        <v>4793.59</v>
      </c>
      <c r="E63" s="31">
        <f t="shared" si="16"/>
        <v>5502.0700000000006</v>
      </c>
      <c r="F63" s="31">
        <f t="shared" si="16"/>
        <v>5967.86</v>
      </c>
      <c r="G63" s="31">
        <f t="shared" si="16"/>
        <v>7011.52</v>
      </c>
      <c r="H63" s="31">
        <f t="shared" si="16"/>
        <v>10888.75</v>
      </c>
      <c r="I63" s="31">
        <f t="shared" si="16"/>
        <v>11691.4</v>
      </c>
      <c r="J63" s="31">
        <f t="shared" si="16"/>
        <v>11896.47</v>
      </c>
      <c r="K63" s="31">
        <f t="shared" si="16"/>
        <v>11814.9</v>
      </c>
      <c r="L63" s="31">
        <f t="shared" si="16"/>
        <v>11279.17</v>
      </c>
    </row>
    <row r="64" spans="2:12" x14ac:dyDescent="0.3"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spans="1:12" x14ac:dyDescent="0.3">
      <c r="B65" s="32" t="s">
        <v>79</v>
      </c>
      <c r="C65" s="31">
        <f t="shared" ref="C65:L65" si="17">IFERROR(SUM(C63,C58),0)</f>
        <v>12405.189999999999</v>
      </c>
      <c r="D65" s="31">
        <f t="shared" si="17"/>
        <v>13763.48</v>
      </c>
      <c r="E65" s="31">
        <f t="shared" si="17"/>
        <v>16248.84</v>
      </c>
      <c r="F65" s="31">
        <f t="shared" si="17"/>
        <v>16137.970000000001</v>
      </c>
      <c r="G65" s="31">
        <f t="shared" si="17"/>
        <v>20355.34</v>
      </c>
      <c r="H65" s="31">
        <f t="shared" si="17"/>
        <v>22958.43</v>
      </c>
      <c r="I65" s="31">
        <f t="shared" si="17"/>
        <v>25779.33</v>
      </c>
      <c r="J65" s="31">
        <f t="shared" si="17"/>
        <v>29900.770000000004</v>
      </c>
      <c r="K65" s="31">
        <f t="shared" si="17"/>
        <v>30355.25</v>
      </c>
      <c r="L65" s="31">
        <f t="shared" si="17"/>
        <v>34518.75</v>
      </c>
    </row>
    <row r="67" spans="1:12" x14ac:dyDescent="0.3">
      <c r="B67" s="59" t="s">
        <v>80</v>
      </c>
      <c r="C67" s="59" t="b">
        <f t="shared" ref="C67:L67" si="18">C65=C52</f>
        <v>1</v>
      </c>
      <c r="D67" s="59" t="b">
        <f t="shared" si="18"/>
        <v>1</v>
      </c>
      <c r="E67" s="59" t="b">
        <f t="shared" si="18"/>
        <v>1</v>
      </c>
      <c r="F67" s="59" t="b">
        <f t="shared" si="18"/>
        <v>1</v>
      </c>
      <c r="G67" s="59" t="b">
        <f t="shared" si="18"/>
        <v>1</v>
      </c>
      <c r="H67" s="59" t="b">
        <f t="shared" si="18"/>
        <v>1</v>
      </c>
      <c r="I67" s="59" t="b">
        <f t="shared" si="18"/>
        <v>1</v>
      </c>
      <c r="J67" s="59" t="b">
        <f t="shared" si="18"/>
        <v>1</v>
      </c>
      <c r="K67" s="59" t="b">
        <f t="shared" si="18"/>
        <v>1</v>
      </c>
      <c r="L67" s="59" t="b">
        <f t="shared" si="18"/>
        <v>1</v>
      </c>
    </row>
    <row r="69" spans="1:12" x14ac:dyDescent="0.3">
      <c r="A69" s="12" t="s">
        <v>65</v>
      </c>
      <c r="B69" s="11" t="s">
        <v>81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">
      <c r="A70" s="12"/>
      <c r="B70" s="14"/>
    </row>
    <row r="71" spans="1:12" x14ac:dyDescent="0.3">
      <c r="B71" s="2" t="s">
        <v>47</v>
      </c>
      <c r="C71" s="20">
        <f>IFERROR('Data Sheet'!B82,0)</f>
        <v>1527.33</v>
      </c>
      <c r="D71" s="20">
        <f>IFERROR('Data Sheet'!C82,0)</f>
        <v>2113.44</v>
      </c>
      <c r="E71" s="20">
        <f>IFERROR('Data Sheet'!D82,0)</f>
        <v>2469.54</v>
      </c>
      <c r="F71" s="20">
        <f>IFERROR('Data Sheet'!E82,0)</f>
        <v>3038.15</v>
      </c>
      <c r="G71" s="20">
        <f>IFERROR('Data Sheet'!F82,0)</f>
        <v>3683.35</v>
      </c>
      <c r="H71" s="20">
        <f>IFERROR('Data Sheet'!G82,0)</f>
        <v>986.49</v>
      </c>
      <c r="I71" s="20">
        <f>IFERROR('Data Sheet'!H82,0)</f>
        <v>4193.43</v>
      </c>
      <c r="J71" s="20">
        <f>IFERROR('Data Sheet'!I82,0)</f>
        <v>6103.6</v>
      </c>
      <c r="K71" s="20">
        <f>IFERROR('Data Sheet'!J82,0)</f>
        <v>4423.96</v>
      </c>
      <c r="L71" s="20">
        <f>IFERROR('Data Sheet'!K82,0)</f>
        <v>7088.18</v>
      </c>
    </row>
    <row r="72" spans="1:12" x14ac:dyDescent="0.3">
      <c r="B72" s="2" t="s">
        <v>48</v>
      </c>
      <c r="C72" s="15">
        <f>IFERROR('Data Sheet'!B83,0)</f>
        <v>-681.11</v>
      </c>
      <c r="D72" s="15">
        <f>IFERROR('Data Sheet'!C83,0)</f>
        <v>-1556.14</v>
      </c>
      <c r="E72" s="15">
        <f>IFERROR('Data Sheet'!D83,0)</f>
        <v>-917.79</v>
      </c>
      <c r="F72" s="15">
        <f>IFERROR('Data Sheet'!E83,0)</f>
        <v>-517.91</v>
      </c>
      <c r="G72" s="15">
        <f>IFERROR('Data Sheet'!F83,0)</f>
        <v>-540.54</v>
      </c>
      <c r="H72" s="15">
        <f>IFERROR('Data Sheet'!G83,0)</f>
        <v>-316.75</v>
      </c>
      <c r="I72" s="15">
        <f>IFERROR('Data Sheet'!H83,0)</f>
        <v>-1282.3399999999999</v>
      </c>
      <c r="J72" s="15">
        <f>IFERROR('Data Sheet'!I83,0)</f>
        <v>-2548.48</v>
      </c>
      <c r="K72" s="15">
        <f>IFERROR('Data Sheet'!J83,0)</f>
        <v>-940.91</v>
      </c>
      <c r="L72" s="15">
        <f>IFERROR('Data Sheet'!K83,0)</f>
        <v>-1328.23</v>
      </c>
    </row>
    <row r="73" spans="1:12" x14ac:dyDescent="0.3">
      <c r="B73" s="2" t="s">
        <v>49</v>
      </c>
      <c r="C73" s="15">
        <f>IFERROR('Data Sheet'!B84,0)</f>
        <v>-756.43</v>
      </c>
      <c r="D73" s="15">
        <f>IFERROR('Data Sheet'!C84,0)</f>
        <v>-1379.14</v>
      </c>
      <c r="E73" s="15">
        <f>IFERROR('Data Sheet'!D84,0)</f>
        <v>-1117.46</v>
      </c>
      <c r="F73" s="15">
        <f>IFERROR('Data Sheet'!E84,0)</f>
        <v>-2871.46</v>
      </c>
      <c r="G73" s="15">
        <f>IFERROR('Data Sheet'!F84,0)</f>
        <v>-650.4</v>
      </c>
      <c r="H73" s="15">
        <f>IFERROR('Data Sheet'!G84,0)</f>
        <v>-1807.61</v>
      </c>
      <c r="I73" s="15">
        <f>IFERROR('Data Sheet'!H84,0)</f>
        <v>-2140.0500000000002</v>
      </c>
      <c r="J73" s="15">
        <f>IFERROR('Data Sheet'!I84,0)</f>
        <v>-2982.5</v>
      </c>
      <c r="K73" s="15">
        <f>IFERROR('Data Sheet'!J84,0)</f>
        <v>-3752.58</v>
      </c>
      <c r="L73" s="15">
        <f>IFERROR('Data Sheet'!K84,0)</f>
        <v>-2376.5100000000002</v>
      </c>
    </row>
    <row r="74" spans="1:12" x14ac:dyDescent="0.3">
      <c r="B74" s="2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1:12" x14ac:dyDescent="0.3">
      <c r="B75" s="30" t="s">
        <v>50</v>
      </c>
      <c r="C75" s="74">
        <f t="shared" ref="C75:L75" si="19">IFERROR(SUM(C71:C73),0)</f>
        <v>89.789999999999964</v>
      </c>
      <c r="D75" s="74">
        <f t="shared" si="19"/>
        <v>-821.84000000000015</v>
      </c>
      <c r="E75" s="74">
        <f t="shared" si="19"/>
        <v>434.28999999999996</v>
      </c>
      <c r="F75" s="74">
        <f t="shared" si="19"/>
        <v>-351.2199999999998</v>
      </c>
      <c r="G75" s="74">
        <f t="shared" si="19"/>
        <v>2492.41</v>
      </c>
      <c r="H75" s="74">
        <f t="shared" si="19"/>
        <v>-1137.8699999999999</v>
      </c>
      <c r="I75" s="74">
        <f t="shared" si="19"/>
        <v>771.04</v>
      </c>
      <c r="J75" s="74">
        <f t="shared" si="19"/>
        <v>572.62000000000035</v>
      </c>
      <c r="K75" s="74">
        <f t="shared" si="19"/>
        <v>-269.52999999999975</v>
      </c>
      <c r="L75" s="74">
        <f t="shared" si="19"/>
        <v>3383.4400000000005</v>
      </c>
    </row>
    <row r="76" spans="1:12" x14ac:dyDescent="0.3"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1:12" x14ac:dyDescent="0.3"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spans="1:12" x14ac:dyDescent="0.3"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2" x14ac:dyDescent="0.3"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2" x14ac:dyDescent="0.3">
      <c r="B80" s="14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x14ac:dyDescent="0.3"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2:12" x14ac:dyDescent="0.3"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2:12" x14ac:dyDescent="0.3"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2:12" x14ac:dyDescent="0.3"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2:12" x14ac:dyDescent="0.3">
      <c r="C85" s="15"/>
      <c r="D85" s="15"/>
      <c r="E85" s="15"/>
      <c r="F85" s="15"/>
      <c r="G85" s="15"/>
      <c r="H85" s="15"/>
      <c r="I85" s="15"/>
      <c r="J85" s="15"/>
      <c r="K85" s="15"/>
      <c r="L85" s="22"/>
    </row>
    <row r="86" spans="2:12" x14ac:dyDescent="0.3"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spans="2:12" x14ac:dyDescent="0.3"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spans="2:12" x14ac:dyDescent="0.3"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spans="2:12" x14ac:dyDescent="0.3"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spans="2:12" x14ac:dyDescent="0.3"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spans="2:12" x14ac:dyDescent="0.3"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spans="2:12" x14ac:dyDescent="0.3"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spans="2:12" x14ac:dyDescent="0.3">
      <c r="B93" s="14"/>
      <c r="C93" s="73"/>
      <c r="D93" s="73"/>
      <c r="E93" s="73"/>
      <c r="F93" s="73"/>
      <c r="G93" s="73"/>
      <c r="H93" s="73"/>
      <c r="I93" s="73"/>
      <c r="J93" s="73"/>
      <c r="K93" s="73"/>
      <c r="L93" s="73"/>
    </row>
    <row r="94" spans="2:12" x14ac:dyDescent="0.3"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spans="2:12" x14ac:dyDescent="0.3"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spans="2:12" x14ac:dyDescent="0.3"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spans="2:12" x14ac:dyDescent="0.3"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spans="2:12" x14ac:dyDescent="0.3"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spans="2:12" x14ac:dyDescent="0.3"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spans="2:12" x14ac:dyDescent="0.3"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spans="2:12" x14ac:dyDescent="0.3"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spans="2:12" x14ac:dyDescent="0.3"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spans="2:12" x14ac:dyDescent="0.3">
      <c r="B103" s="14"/>
      <c r="C103" s="73"/>
      <c r="D103" s="73"/>
      <c r="E103" s="73"/>
      <c r="F103" s="73"/>
      <c r="G103" s="73"/>
      <c r="H103" s="73"/>
      <c r="I103" s="73"/>
      <c r="J103" s="73"/>
      <c r="K103" s="73"/>
      <c r="L103" s="73"/>
    </row>
    <row r="105" spans="2:12" x14ac:dyDescent="0.3"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</row>
  </sheetData>
  <mergeCells count="1">
    <mergeCell ref="B2:L2"/>
  </mergeCells>
  <pageMargins left="0.7" right="0.7" top="0.75" bottom="0.75" header="0.3" footer="0.3"/>
  <pageSetup paperSize="9" orientation="portrait" horizontalDpi="4294967293" verticalDpi="0" r:id="rId1"/>
  <ignoredErrors>
    <ignoredError sqref="C15:L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986F-8EAE-4942-8D6A-26D7B67AE2E9}">
  <sheetPr>
    <tabColor theme="4" tint="-0.499984740745262"/>
  </sheetPr>
  <dimension ref="B2:O40"/>
  <sheetViews>
    <sheetView showGridLines="0" topLeftCell="A13" zoomScale="95" workbookViewId="0">
      <selection activeCell="R23" sqref="R23"/>
    </sheetView>
  </sheetViews>
  <sheetFormatPr defaultRowHeight="14.4" x14ac:dyDescent="0.3"/>
  <cols>
    <col min="1" max="1" width="1.88671875" customWidth="1"/>
    <col min="2" max="2" width="28.88671875" customWidth="1"/>
    <col min="13" max="13" width="18.109375" customWidth="1"/>
    <col min="14" max="15" width="10.33203125" bestFit="1" customWidth="1"/>
  </cols>
  <sheetData>
    <row r="2" spans="2:15" x14ac:dyDescent="0.3">
      <c r="B2" s="77" t="str">
        <f>"Ratio Analysis- " &amp;'Data Sheet'!B1</f>
        <v>Ratio Analysis- ASIAN PAINTS LTD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2:15" x14ac:dyDescent="0.3">
      <c r="B3" s="21" t="s">
        <v>54</v>
      </c>
      <c r="C3" s="5">
        <f>'Data Sheet'!B16</f>
        <v>42825</v>
      </c>
      <c r="D3" s="5">
        <f>'Data Sheet'!C16</f>
        <v>43190</v>
      </c>
      <c r="E3" s="5">
        <f>'Data Sheet'!D16</f>
        <v>43555</v>
      </c>
      <c r="F3" s="5">
        <f>'Data Sheet'!E16</f>
        <v>43921</v>
      </c>
      <c r="G3" s="5">
        <f>'Data Sheet'!F16</f>
        <v>44286</v>
      </c>
      <c r="H3" s="5">
        <f>'Data Sheet'!G16</f>
        <v>44651</v>
      </c>
      <c r="I3" s="5">
        <f>'Data Sheet'!H16</f>
        <v>45016</v>
      </c>
      <c r="J3" s="5">
        <f>'Data Sheet'!I16</f>
        <v>45382</v>
      </c>
      <c r="K3" s="5">
        <f>'Data Sheet'!J16</f>
        <v>45747</v>
      </c>
      <c r="L3" s="5">
        <f>'Data Sheet'!K16</f>
        <v>46112</v>
      </c>
      <c r="M3" s="53" t="s">
        <v>110</v>
      </c>
      <c r="N3" s="53" t="s">
        <v>111</v>
      </c>
      <c r="O3" s="53" t="s">
        <v>112</v>
      </c>
    </row>
    <row r="5" spans="2:15" x14ac:dyDescent="0.3">
      <c r="B5" s="35" t="s">
        <v>55</v>
      </c>
      <c r="C5" s="54" t="s">
        <v>113</v>
      </c>
      <c r="D5" s="36">
        <f>IFERROR('Historical FS'!D7,0)</f>
        <v>0.11702039371955486</v>
      </c>
      <c r="E5" s="36">
        <f>IFERROR('Historical FS'!E7,0)</f>
        <v>0.14357471670861943</v>
      </c>
      <c r="F5" s="36">
        <f>IFERROR('Historical FS'!F7,0)</f>
        <v>5.0473671435691925E-2</v>
      </c>
      <c r="G5" s="36">
        <f>IFERROR('Historical FS'!G7,0)</f>
        <v>7.4292287711052118E-2</v>
      </c>
      <c r="H5" s="36">
        <f>IFERROR('Historical FS'!H7,0)</f>
        <v>0.34028284711453471</v>
      </c>
      <c r="I5" s="36">
        <f>IFERROR('Historical FS'!I7,0)</f>
        <v>0.18512278497715551</v>
      </c>
      <c r="J5" s="36">
        <f>IFERROR('Historical FS'!J7,0)</f>
        <v>2.9173126532572313E-2</v>
      </c>
      <c r="K5" s="36">
        <f>IFERROR('Historical FS'!K7,0)</f>
        <v>-4.4770308155605121E-2</v>
      </c>
      <c r="L5" s="36">
        <f>IFERROR('Historical FS'!L7,0)</f>
        <v>4.9487960992897317E-2</v>
      </c>
      <c r="M5" s="48"/>
      <c r="N5" s="36">
        <f t="shared" ref="N5:N9" si="0">IFERROR(AVERAGE(D5:L5),0)</f>
        <v>0.1049619423373859</v>
      </c>
      <c r="O5" s="36">
        <f t="shared" ref="O5:O9" si="1">IFERROR(MEDIAN(D5:L5),0)</f>
        <v>7.4292287711052118E-2</v>
      </c>
    </row>
    <row r="6" spans="2:15" x14ac:dyDescent="0.3">
      <c r="B6" s="33" t="s">
        <v>83</v>
      </c>
      <c r="C6" s="55" t="s">
        <v>113</v>
      </c>
      <c r="D6" s="37">
        <f>IFERROR('Historical FS'!D18/'Historical FS'!C18-1,0)</f>
        <v>7.0229410507188561E-2</v>
      </c>
      <c r="E6" s="37">
        <f>IFERROR('Historical FS'!E18/'Historical FS'!D18-1,0)</f>
        <v>0.17507123885381137</v>
      </c>
      <c r="F6" s="37">
        <f>IFERROR('Historical FS'!F18/'Historical FS'!E18-1,0)</f>
        <v>0.10540141409955961</v>
      </c>
      <c r="G6" s="37">
        <f>IFERROR('Historical FS'!G18/'Historical FS'!F18-1,0)</f>
        <v>0.16671512361327179</v>
      </c>
      <c r="H6" s="37">
        <f>IFERROR('Historical FS'!H18/'Historical FS'!G18-1,0)</f>
        <v>-1.0707224647830249E-2</v>
      </c>
      <c r="I6" s="37">
        <f>IFERROR('Historical FS'!I18/'Historical FS'!H18-1,0)</f>
        <v>0.3031532534906034</v>
      </c>
      <c r="J6" s="37">
        <f>IFERROR('Historical FS'!J18/'Historical FS'!I18-1,0)</f>
        <v>0.21168911665473988</v>
      </c>
      <c r="K6" s="37">
        <f>IFERROR('Historical FS'!K18/'Historical FS'!J18-1,0)</f>
        <v>-0.20814425351154509</v>
      </c>
      <c r="L6" s="37">
        <f>IFERROR('Historical FS'!L18/'Historical FS'!K18-1,0)</f>
        <v>0.11546715815797359</v>
      </c>
      <c r="M6" s="49"/>
      <c r="N6" s="37">
        <f t="shared" si="0"/>
        <v>0.10320835969086367</v>
      </c>
      <c r="O6" s="37">
        <f t="shared" si="1"/>
        <v>0.11546715815797359</v>
      </c>
    </row>
    <row r="7" spans="2:15" x14ac:dyDescent="0.3">
      <c r="B7" s="33" t="s">
        <v>84</v>
      </c>
      <c r="C7" s="55" t="s">
        <v>113</v>
      </c>
      <c r="D7" s="37">
        <f>IFERROR('Historical FS'!D29/'Historical FS'!C29-1,0)</f>
        <v>6.0462098839684897E-2</v>
      </c>
      <c r="E7" s="37">
        <f>IFERROR('Historical FS'!E29/'Historical FS'!D29-1,0)</f>
        <v>5.3408019168514675E-2</v>
      </c>
      <c r="F7" s="37">
        <f>IFERROR('Historical FS'!F29/'Historical FS'!E29-1,0)</f>
        <v>9.7680045975619745E-2</v>
      </c>
      <c r="G7" s="37">
        <f>IFERROR('Historical FS'!G29/'Historical FS'!F29-1,0)</f>
        <v>0.18608502524083614</v>
      </c>
      <c r="H7" s="37">
        <f>IFERROR('Historical FS'!H29/'Historical FS'!G29-1,0)</f>
        <v>-2.7095844901089072E-2</v>
      </c>
      <c r="I7" s="37">
        <f>IFERROR('Historical FS'!I29/'Historical FS'!H29-1,0)</f>
        <v>0.35845519757767885</v>
      </c>
      <c r="J7" s="37">
        <f>IFERROR('Historical FS'!J29/'Historical FS'!I29-1,0)</f>
        <v>0.29161356553105078</v>
      </c>
      <c r="K7" s="37">
        <f>IFERROR('Historical FS'!K29/'Historical FS'!J29-1,0)</f>
        <v>-0.30549404785397472</v>
      </c>
      <c r="L7" s="37">
        <f>IFERROR('Historical FS'!L29/'Historical FS'!K29-1,0)</f>
        <v>0.17643692914265374</v>
      </c>
      <c r="M7" s="49"/>
      <c r="N7" s="37">
        <f t="shared" si="0"/>
        <v>9.9061220968997235E-2</v>
      </c>
      <c r="O7" s="37">
        <f t="shared" si="1"/>
        <v>9.7680045975619745E-2</v>
      </c>
    </row>
    <row r="8" spans="2:15" x14ac:dyDescent="0.3">
      <c r="B8" s="33" t="s">
        <v>85</v>
      </c>
      <c r="C8" s="55" t="s">
        <v>113</v>
      </c>
      <c r="D8" s="37">
        <f>IFERROR('Historical FS'!D35/'Historical FS'!C35-1,0)</f>
        <v>5.130373357120388E-2</v>
      </c>
      <c r="E8" s="37">
        <f>IFERROR('Historical FS'!E35/'Historical FS'!D35-1,0)</f>
        <v>5.7378134609819886E-2</v>
      </c>
      <c r="F8" s="37">
        <f>IFERROR('Historical FS'!F35/'Historical FS'!E35-1,0)</f>
        <v>0.25476362759286064</v>
      </c>
      <c r="G8" s="37">
        <f>IFERROR('Historical FS'!G35/'Historical FS'!F35-1,0)</f>
        <v>0.16047789972534066</v>
      </c>
      <c r="H8" s="37">
        <f>IFERROR('Historical FS'!H35/'Historical FS'!G35-1,0)</f>
        <v>-3.463203463203457E-2</v>
      </c>
      <c r="I8" s="37">
        <f>IFERROR('Historical FS'!I35/'Historical FS'!H35-1,0)</f>
        <v>0.3550091236962023</v>
      </c>
      <c r="J8" s="37">
        <f>IFERROR('Historical FS'!J35/'Historical FS'!I35-1,0)</f>
        <v>0.32967161416795521</v>
      </c>
      <c r="K8" s="37">
        <f>IFERROR('Historical FS'!K35/'Historical FS'!J35-1,0)</f>
        <v>-0.32837444576510511</v>
      </c>
      <c r="L8" s="37">
        <f>IFERROR('Historical FS'!L35/'Historical FS'!K35-1,0)</f>
        <v>0.17945970119136256</v>
      </c>
      <c r="M8" s="49"/>
      <c r="N8" s="37">
        <f t="shared" si="0"/>
        <v>0.11389526157306726</v>
      </c>
      <c r="O8" s="37">
        <f t="shared" si="1"/>
        <v>0.16047789972534066</v>
      </c>
    </row>
    <row r="9" spans="2:15" x14ac:dyDescent="0.3">
      <c r="B9" s="38" t="s">
        <v>86</v>
      </c>
      <c r="C9" s="56" t="s">
        <v>113</v>
      </c>
      <c r="D9" s="39">
        <f>IFERROR('Historical FS'!D44/'Historical FS'!C44-1,0)</f>
        <v>-0.15534727423632066</v>
      </c>
      <c r="E9" s="39">
        <f>IFERROR('Historical FS'!E44/'Historical FS'!D44-1,0)</f>
        <v>0.20690233672858005</v>
      </c>
      <c r="F9" s="39">
        <f>IFERROR('Historical FS'!F44/'Historical FS'!E44-1,0)</f>
        <v>0.14285714285714279</v>
      </c>
      <c r="G9" s="39">
        <f>IFERROR('Historical FS'!G44/'Historical FS'!F44-1,0)</f>
        <v>0.48749826244092298</v>
      </c>
      <c r="H9" s="39">
        <f>IFERROR('Historical FS'!H44/'Historical FS'!G44-1,0)</f>
        <v>7.2831552941588606E-2</v>
      </c>
      <c r="I9" s="39">
        <f>IFERROR('Historical FS'!I44/'Historical FS'!H44-1,0)</f>
        <v>0.33942521789783719</v>
      </c>
      <c r="J9" s="39">
        <f>IFERROR('Historical FS'!J44/'Historical FS'!I44-1,0)</f>
        <v>0.2982461844859472</v>
      </c>
      <c r="K9" s="39">
        <f>IFERROR('Historical FS'!K44/'Historical FS'!J44-1,0)</f>
        <v>-0.25525493560081891</v>
      </c>
      <c r="L9" s="39">
        <f>IFERROR('Historical FS'!L44/'Historical FS'!K44-1,0)</f>
        <v>0.10886910316879783</v>
      </c>
      <c r="M9" s="50"/>
      <c r="N9" s="39">
        <f t="shared" si="0"/>
        <v>0.13844751007596412</v>
      </c>
      <c r="O9" s="39">
        <f t="shared" si="1"/>
        <v>0.14285714285714279</v>
      </c>
    </row>
    <row r="10" spans="2:15" x14ac:dyDescent="0.3">
      <c r="B10" s="33"/>
    </row>
    <row r="11" spans="2:15" x14ac:dyDescent="0.3">
      <c r="B11" s="35" t="s">
        <v>87</v>
      </c>
      <c r="C11" s="36">
        <f>IFERROR('Historical FS'!C13,0)</f>
        <v>0.35382642001488518</v>
      </c>
      <c r="D11" s="36">
        <f>IFERROR('Historical FS'!D13,0)</f>
        <v>0.33465263558312119</v>
      </c>
      <c r="E11" s="36">
        <f>IFERROR('Historical FS'!E13,0)</f>
        <v>0.3292243867375117</v>
      </c>
      <c r="F11" s="36">
        <f>IFERROR('Historical FS'!F13,0)</f>
        <v>0.34897544684272364</v>
      </c>
      <c r="G11" s="36">
        <f>IFERROR('Historical FS'!G13,0)</f>
        <v>0.35360356729835285</v>
      </c>
      <c r="H11" s="36">
        <f>IFERROR('Historical FS'!H13,0)</f>
        <v>0.29245139732685294</v>
      </c>
      <c r="I11" s="36">
        <f>IFERROR('Historical FS'!I13,0)</f>
        <v>0.31088223670495074</v>
      </c>
      <c r="J11" s="36">
        <f>IFERROR('Historical FS'!J13,0)</f>
        <v>0.35173503221464147</v>
      </c>
      <c r="K11" s="36">
        <f>IFERROR('Historical FS'!K13,0)</f>
        <v>0.32927727025785108</v>
      </c>
      <c r="L11" s="36">
        <f>IFERROR('Historical FS'!L13,0)</f>
        <v>0.33987371689269824</v>
      </c>
      <c r="M11" s="48"/>
      <c r="N11" s="36">
        <f t="shared" ref="N11:N15" si="2">IFERROR(AVERAGE(C11:L11),0)</f>
        <v>0.33445021098735889</v>
      </c>
      <c r="O11" s="36">
        <f>IFERROR(MEDIAN(C11:L11),0)</f>
        <v>0.33726317623790969</v>
      </c>
    </row>
    <row r="12" spans="2:15" x14ac:dyDescent="0.3">
      <c r="B12" s="33" t="s">
        <v>88</v>
      </c>
      <c r="C12" s="37">
        <f>IFERROR('Historical FS'!C19,0)</f>
        <v>0.19876258050895004</v>
      </c>
      <c r="D12" s="37">
        <f>IFERROR('Historical FS'!D19,0)</f>
        <v>0.19043659414367703</v>
      </c>
      <c r="E12" s="37">
        <f>IFERROR('Historical FS'!E19,0)</f>
        <v>0.19568163000977651</v>
      </c>
      <c r="F12" s="37">
        <f>IFERROR('Historical FS'!F19,0)</f>
        <v>0.2059135382522109</v>
      </c>
      <c r="G12" s="37">
        <f>IFERROR('Historical FS'!G19,0)</f>
        <v>0.22362856178317034</v>
      </c>
      <c r="H12" s="37">
        <f>IFERROR('Historical FS'!H19,0)</f>
        <v>0.16506524798909186</v>
      </c>
      <c r="I12" s="37">
        <f>IFERROR('Historical FS'!I19,0)</f>
        <v>0.1815046657459756</v>
      </c>
      <c r="J12" s="37">
        <f>IFERROR('Historical FS'!J19,0)</f>
        <v>0.21369313134654075</v>
      </c>
      <c r="K12" s="37">
        <f>IFERROR('Historical FS'!K19,0)</f>
        <v>0.17714496888716388</v>
      </c>
      <c r="L12" s="37">
        <f>IFERROR('Historical FS'!L19,0)</f>
        <v>0.18828171677129379</v>
      </c>
      <c r="M12" s="49"/>
      <c r="N12" s="37">
        <f t="shared" si="2"/>
        <v>0.19401126354378506</v>
      </c>
      <c r="O12" s="37">
        <f t="shared" ref="O12:O40" si="3">IFERROR(MEDIAN(C12:L12),0)</f>
        <v>0.19305911207672677</v>
      </c>
    </row>
    <row r="13" spans="2:15" x14ac:dyDescent="0.3">
      <c r="B13" s="33" t="s">
        <v>89</v>
      </c>
      <c r="C13" s="37">
        <f>IFERROR(('Historical FS'!C18-'Historical FS'!C26)/'Historical FS'!C6,0)</f>
        <v>0.17653510591893901</v>
      </c>
      <c r="D13" s="37">
        <f>IFERROR(('Historical FS'!D18-'Historical FS'!D26)/'Historical FS'!D6,0)</f>
        <v>0.16901135543001156</v>
      </c>
      <c r="E13" s="37">
        <f>IFERROR(('Historical FS'!E18-'Historical FS'!E26)/'Historical FS'!E6,0)</f>
        <v>0.16334608965739844</v>
      </c>
      <c r="F13" s="37">
        <f>IFERROR(('Historical FS'!F18-'Historical FS'!F26)/'Historical FS'!F6,0)</f>
        <v>0.16729643144288442</v>
      </c>
      <c r="G13" s="37">
        <f>IFERROR(('Historical FS'!G18-'Historical FS'!G26)/'Historical FS'!G6,0)</f>
        <v>0.18718598577152007</v>
      </c>
      <c r="H13" s="37">
        <f>IFERROR(('Historical FS'!H18-'Historical FS'!H26)/'Historical FS'!H6,0)</f>
        <v>0.13701287366053996</v>
      </c>
      <c r="I13" s="37">
        <f>IFERROR(('Historical FS'!I18-'Historical FS'!I26)/'Historical FS'!I6,0)</f>
        <v>0.15662629292760291</v>
      </c>
      <c r="J13" s="37">
        <f>IFERROR(('Historical FS'!J18-'Historical FS'!J26)/'Historical FS'!J6,0)</f>
        <v>0.18966139480424279</v>
      </c>
      <c r="K13" s="37">
        <f>IFERROR(('Historical FS'!K18-'Historical FS'!K26)/'Historical FS'!K6,0)</f>
        <v>0.14687447095791203</v>
      </c>
      <c r="L13" s="37">
        <f>IFERROR(('Historical FS'!L18-'Historical FS'!L26)/'Historical FS'!L6,0)</f>
        <v>0.15374749111527422</v>
      </c>
      <c r="M13" s="49"/>
      <c r="N13" s="37">
        <f t="shared" si="2"/>
        <v>0.16472974916863253</v>
      </c>
      <c r="O13" s="37">
        <f t="shared" si="3"/>
        <v>0.16532126055014143</v>
      </c>
    </row>
    <row r="14" spans="2:15" x14ac:dyDescent="0.3">
      <c r="B14" s="33" t="s">
        <v>90</v>
      </c>
      <c r="C14" s="37">
        <f>IFERROR('Historical FS'!C30,0)</f>
        <v>0.19649063636345532</v>
      </c>
      <c r="D14" s="37">
        <f>IFERROR('Historical FS'!D30,0)</f>
        <v>0.18654169056527523</v>
      </c>
      <c r="E14" s="37">
        <f>IFERROR('Historical FS'!E30,0)</f>
        <v>0.17183355829716335</v>
      </c>
      <c r="F14" s="37">
        <f>IFERROR('Historical FS'!F30,0)</f>
        <v>0.17955544560578876</v>
      </c>
      <c r="G14" s="37">
        <f>IFERROR('Historical FS'!G30,0)</f>
        <v>0.1982402998417063</v>
      </c>
      <c r="H14" s="37">
        <f>IFERROR('Historical FS'!H30,0)</f>
        <v>0.1439015740888373</v>
      </c>
      <c r="I14" s="37">
        <f>IFERROR('Historical FS'!I30,0)</f>
        <v>0.16494817561402181</v>
      </c>
      <c r="J14" s="37">
        <f>IFERROR('Historical FS'!J30,0)</f>
        <v>0.20701016742485437</v>
      </c>
      <c r="K14" s="37">
        <f>IFERROR('Historical FS'!K30,0)</f>
        <v>0.15050808685993652</v>
      </c>
      <c r="L14" s="37">
        <f>IFERROR('Historical FS'!L30,0)</f>
        <v>0.1687139615676238</v>
      </c>
      <c r="M14" s="49"/>
      <c r="N14" s="37">
        <f t="shared" si="2"/>
        <v>0.17677435962286628</v>
      </c>
      <c r="O14" s="37">
        <f t="shared" si="3"/>
        <v>0.17569450195147607</v>
      </c>
    </row>
    <row r="15" spans="2:15" x14ac:dyDescent="0.3">
      <c r="B15" s="38" t="s">
        <v>91</v>
      </c>
      <c r="C15" s="39">
        <f>IFERROR('Historical FS'!C36,0)</f>
        <v>0.12876319795724203</v>
      </c>
      <c r="D15" s="39">
        <f>IFERROR('Historical FS'!D36,0)</f>
        <v>0.12118778808348515</v>
      </c>
      <c r="E15" s="39">
        <f>IFERROR('Historical FS'!E36,0)</f>
        <v>0.11205329693718286</v>
      </c>
      <c r="F15" s="39">
        <f>IFERROR('Historical FS'!F36,0)</f>
        <v>0.13384476467313997</v>
      </c>
      <c r="G15" s="39">
        <f>IFERROR('Historical FS'!G36,0)</f>
        <v>0.14458252486207437</v>
      </c>
      <c r="H15" s="39">
        <f>IFERROR('Historical FS'!H36,0)</f>
        <v>0.10413871829692715</v>
      </c>
      <c r="I15" s="39">
        <f>IFERROR('Historical FS'!I36,0)</f>
        <v>0.11906691459407301</v>
      </c>
      <c r="J15" s="39">
        <f>IFERROR('Historical FS'!J36,0)</f>
        <v>0.15383213226301479</v>
      </c>
      <c r="K15" s="39">
        <f>IFERROR('Historical FS'!K36,0)</f>
        <v>0.10815994516543274</v>
      </c>
      <c r="L15" s="39">
        <f>IFERROR('Historical FS'!L36,0)</f>
        <v>0.12155479752717127</v>
      </c>
      <c r="M15" s="50"/>
      <c r="N15" s="39">
        <f t="shared" si="2"/>
        <v>0.12471840803597434</v>
      </c>
      <c r="O15" s="39">
        <f t="shared" si="3"/>
        <v>0.12137129280532821</v>
      </c>
    </row>
    <row r="16" spans="2:15" x14ac:dyDescent="0.3">
      <c r="B16" s="33"/>
    </row>
    <row r="17" spans="2:15" x14ac:dyDescent="0.3">
      <c r="B17" s="40" t="s">
        <v>114</v>
      </c>
      <c r="C17" s="36">
        <f>IFERROR('Historical FS'!C16,0)</f>
        <v>0.15506383950593511</v>
      </c>
      <c r="D17" s="36">
        <f>IFERROR('Historical FS'!D16,0)</f>
        <v>0.14421604143944414</v>
      </c>
      <c r="E17" s="36">
        <f>IFERROR('Historical FS'!E16,0)</f>
        <v>0.13354275672773522</v>
      </c>
      <c r="F17" s="36">
        <f>IFERROR('Historical FS'!F16,0)</f>
        <v>0.14306190859051271</v>
      </c>
      <c r="G17" s="36">
        <f>IFERROR('Historical FS'!G16,0)</f>
        <v>0.12997500551518251</v>
      </c>
      <c r="H17" s="36">
        <f>IFERROR('Historical FS'!H16,0)</f>
        <v>0.1273861493377611</v>
      </c>
      <c r="I17" s="36">
        <f>IFERROR('Historical FS'!I16,0)</f>
        <v>0.12937757095897515</v>
      </c>
      <c r="J17" s="36">
        <f>IFERROR('Historical FS'!J16,0)</f>
        <v>0.1380419008681007</v>
      </c>
      <c r="K17" s="36">
        <f>IFERROR('Historical FS'!K16,0)</f>
        <v>0.15213230137068723</v>
      </c>
      <c r="L17" s="36">
        <f>IFERROR('Historical FS'!L16,0)</f>
        <v>0.15159200012140442</v>
      </c>
      <c r="M17" s="51"/>
      <c r="N17" s="36">
        <f t="shared" ref="N17:N19" si="4">IFERROR(AVERAGE(C17:L17),0)</f>
        <v>0.14043894744357382</v>
      </c>
      <c r="O17" s="36">
        <f t="shared" si="3"/>
        <v>0.1405519047293067</v>
      </c>
    </row>
    <row r="18" spans="2:15" x14ac:dyDescent="0.3">
      <c r="B18" s="41" t="s">
        <v>63</v>
      </c>
      <c r="C18" s="37">
        <f>IFERROR('Historical FS'!C27,0)</f>
        <v>2.2227474590011016E-2</v>
      </c>
      <c r="D18" s="37">
        <f>IFERROR('Historical FS'!D27,0)</f>
        <v>2.1425238713665449E-2</v>
      </c>
      <c r="E18" s="37">
        <f>IFERROR('Historical FS'!E27,0)</f>
        <v>3.2335540352378074E-2</v>
      </c>
      <c r="F18" s="37">
        <f>IFERROR('Historical FS'!F27,0)</f>
        <v>3.8617106809326486E-2</v>
      </c>
      <c r="G18" s="37">
        <f>IFERROR('Historical FS'!G27,0)</f>
        <v>3.6442576011650275E-2</v>
      </c>
      <c r="H18" s="37">
        <f>IFERROR('Historical FS'!H27,0)</f>
        <v>2.8052374328551871E-2</v>
      </c>
      <c r="I18" s="37">
        <f>IFERROR('Historical FS'!I27,0)</f>
        <v>2.4878372818372688E-2</v>
      </c>
      <c r="J18" s="37">
        <f>IFERROR('Historical FS'!J27,0)</f>
        <v>2.4031736542297968E-2</v>
      </c>
      <c r="K18" s="37">
        <f>IFERROR('Historical FS'!K27,0)</f>
        <v>3.0270497929251843E-2</v>
      </c>
      <c r="L18" s="37">
        <f>IFERROR('Historical FS'!L27,0)</f>
        <v>3.4534225656019608E-2</v>
      </c>
      <c r="N18" s="37">
        <f t="shared" si="4"/>
        <v>2.9281514375152529E-2</v>
      </c>
      <c r="O18" s="37">
        <f t="shared" si="3"/>
        <v>2.9161436128901857E-2</v>
      </c>
    </row>
    <row r="19" spans="2:15" x14ac:dyDescent="0.3">
      <c r="B19" s="42" t="s">
        <v>115</v>
      </c>
      <c r="C19" s="39">
        <f t="shared" ref="C19:L19" si="5">C13</f>
        <v>0.17653510591893901</v>
      </c>
      <c r="D19" s="39">
        <f t="shared" si="5"/>
        <v>0.16901135543001156</v>
      </c>
      <c r="E19" s="39">
        <f t="shared" si="5"/>
        <v>0.16334608965739844</v>
      </c>
      <c r="F19" s="39">
        <f t="shared" si="5"/>
        <v>0.16729643144288442</v>
      </c>
      <c r="G19" s="39">
        <f t="shared" si="5"/>
        <v>0.18718598577152007</v>
      </c>
      <c r="H19" s="39">
        <f t="shared" si="5"/>
        <v>0.13701287366053996</v>
      </c>
      <c r="I19" s="39">
        <f t="shared" si="5"/>
        <v>0.15662629292760291</v>
      </c>
      <c r="J19" s="39">
        <f t="shared" si="5"/>
        <v>0.18966139480424279</v>
      </c>
      <c r="K19" s="39">
        <f t="shared" si="5"/>
        <v>0.14687447095791203</v>
      </c>
      <c r="L19" s="39">
        <f t="shared" si="5"/>
        <v>0.15374749111527422</v>
      </c>
      <c r="M19" s="52"/>
      <c r="N19" s="39">
        <f t="shared" si="4"/>
        <v>0.16472974916863253</v>
      </c>
      <c r="O19" s="39">
        <f t="shared" si="3"/>
        <v>0.16532126055014143</v>
      </c>
    </row>
    <row r="20" spans="2:15" x14ac:dyDescent="0.3">
      <c r="B20" s="33"/>
    </row>
    <row r="21" spans="2:15" x14ac:dyDescent="0.3">
      <c r="B21" s="35" t="s">
        <v>92</v>
      </c>
      <c r="C21" s="36">
        <f>IFERROR(('Historical FS'!C18-'Historical FS'!C26)/(SUM('Historical FS'!C48:C50)),0)</f>
        <v>0.32568533713528403</v>
      </c>
      <c r="D21" s="36">
        <f>IFERROR(('Historical FS'!D18-'Historical FS'!D26)/(SUM('Historical FS'!D48:D50)),0)</f>
        <v>0.31793918820706524</v>
      </c>
      <c r="E21" s="36">
        <f>IFERROR(('Historical FS'!E18-'Historical FS'!E26)/(SUM('Historical FS'!E48:E50)),0)</f>
        <v>0.29126564505590763</v>
      </c>
      <c r="F21" s="36">
        <f>IFERROR(('Historical FS'!F18-'Historical FS'!F26)/(SUM('Historical FS'!F48:F50)),0)</f>
        <v>0.3005931373159112</v>
      </c>
      <c r="G21" s="36">
        <f>IFERROR(('Historical FS'!G18-'Historical FS'!G26)/(SUM('Historical FS'!G48:G50)),0)</f>
        <v>0.29241025338485616</v>
      </c>
      <c r="H21" s="36">
        <f>IFERROR(('Historical FS'!H18-'Historical FS'!H26)/(SUM('Historical FS'!H48:H50)),0)</f>
        <v>0.2589385678029722</v>
      </c>
      <c r="I21" s="36">
        <f>IFERROR(('Historical FS'!I18-'Historical FS'!I26)/(SUM('Historical FS'!I48:I50)),0)</f>
        <v>0.30135928613070662</v>
      </c>
      <c r="J21" s="36">
        <f>IFERROR(('Historical FS'!J18-'Historical FS'!J26)/(SUM('Historical FS'!J48:J50)),0)</f>
        <v>0.31750608885291864</v>
      </c>
      <c r="K21" s="36">
        <f>IFERROR(('Historical FS'!K18-'Historical FS'!K26)/(SUM('Historical FS'!K48:K50)),0)</f>
        <v>0.22959184143918202</v>
      </c>
      <c r="L21" s="36">
        <f>IFERROR(('Historical FS'!L18-'Historical FS'!L26)/(SUM('Historical FS'!L48:L50)),0)</f>
        <v>0.2162358718318835</v>
      </c>
      <c r="M21" s="51"/>
      <c r="N21" s="36">
        <f t="shared" ref="N21:N25" si="6">IFERROR(AVERAGE(C21:L21),0)</f>
        <v>0.28515252171566874</v>
      </c>
      <c r="O21" s="36">
        <f t="shared" si="3"/>
        <v>0.29650169535038368</v>
      </c>
    </row>
    <row r="22" spans="2:15" x14ac:dyDescent="0.3">
      <c r="B22" s="33" t="s">
        <v>94</v>
      </c>
      <c r="C22" s="37">
        <f>IFERROR('Historical FS'!C35/SUM('Historical FS'!C48:C49),0)</f>
        <v>0.25505760867135113</v>
      </c>
      <c r="D22" s="37">
        <f>IFERROR('Historical FS'!D35/SUM('Historical FS'!D48:D49),0)</f>
        <v>0.24243451130349589</v>
      </c>
      <c r="E22" s="37">
        <f>IFERROR('Historical FS'!E35/SUM('Historical FS'!E48:E49),0)</f>
        <v>0.22764464577030905</v>
      </c>
      <c r="F22" s="37">
        <f>IFERROR('Historical FS'!F35/SUM('Historical FS'!F48:F49),0)</f>
        <v>0.26704119184692049</v>
      </c>
      <c r="G22" s="37">
        <f>IFERROR('Historical FS'!G35/SUM('Historical FS'!G48:G49),0)</f>
        <v>0.24513656960759125</v>
      </c>
      <c r="H22" s="37">
        <f>IFERROR('Historical FS'!H35/SUM('Historical FS'!H48:H49),0)</f>
        <v>0.21942271546443706</v>
      </c>
      <c r="I22" s="37">
        <f>IFERROR('Historical FS'!I35/SUM('Historical FS'!I48:I49),0)</f>
        <v>0.25677782273016331</v>
      </c>
      <c r="J22" s="37">
        <f>IFERROR('Historical FS'!J35/SUM('Historical FS'!J48:J49),0)</f>
        <v>0.29154968683756666</v>
      </c>
      <c r="K22" s="37">
        <f>IFERROR('Historical FS'!K35/SUM('Historical FS'!K48:K49),0)</f>
        <v>0.18903432559391048</v>
      </c>
      <c r="L22" s="37">
        <f>IFERROR('Historical FS'!L35/SUM('Historical FS'!L48:L49),0)</f>
        <v>0.2023878429260528</v>
      </c>
      <c r="N22" s="37">
        <f t="shared" si="6"/>
        <v>0.23964869207517983</v>
      </c>
      <c r="O22" s="37">
        <f t="shared" si="3"/>
        <v>0.24378554045554357</v>
      </c>
    </row>
    <row r="23" spans="2:15" x14ac:dyDescent="0.3">
      <c r="B23" t="s">
        <v>93</v>
      </c>
      <c r="C23" s="37">
        <f>'Historical FS'!C39</f>
        <v>0.49058228448564783</v>
      </c>
      <c r="D23" s="37">
        <f>'Historical FS'!D39</f>
        <v>0.59071669944529726</v>
      </c>
      <c r="E23" s="37">
        <f>'Historical FS'!E39</f>
        <v>0.53283980852721813</v>
      </c>
      <c r="F23" s="37">
        <f>'Historical FS'!F39</f>
        <v>0.57450363563103246</v>
      </c>
      <c r="G23" s="37">
        <f>'Historical FS'!G39</f>
        <v>0.45459960691748769</v>
      </c>
      <c r="H23" s="37">
        <f>'Historical FS'!H39</f>
        <v>0.3938862986170919</v>
      </c>
      <c r="I23" s="37">
        <f>'Historical FS'!I39</f>
        <v>0.40085718808216342</v>
      </c>
      <c r="J23" s="37">
        <f>'Historical FS'!J39</f>
        <v>0.41501731612038317</v>
      </c>
      <c r="K23" s="37">
        <f>'Historical FS'!K39</f>
        <v>0.35133056830359694</v>
      </c>
      <c r="L23" s="37">
        <f>'Historical FS'!L39</f>
        <v>0.39015339799091403</v>
      </c>
      <c r="N23" s="37">
        <f t="shared" si="6"/>
        <v>0.45944868041208331</v>
      </c>
      <c r="O23" s="37">
        <f t="shared" si="3"/>
        <v>0.43480846151893543</v>
      </c>
    </row>
    <row r="24" spans="2:15" x14ac:dyDescent="0.3">
      <c r="B24" s="33" t="s">
        <v>95</v>
      </c>
      <c r="C24" s="37">
        <f t="shared" ref="C24:L24" si="7">IFERROR(C22*C23,0)</f>
        <v>0.12512674433743781</v>
      </c>
      <c r="D24" s="37">
        <f t="shared" si="7"/>
        <v>0.14321011434883471</v>
      </c>
      <c r="E24" s="37">
        <f t="shared" si="7"/>
        <v>0.12129812946449786</v>
      </c>
      <c r="F24" s="37">
        <f t="shared" si="7"/>
        <v>0.15341613557929984</v>
      </c>
      <c r="G24" s="37">
        <f t="shared" si="7"/>
        <v>0.11143898818471235</v>
      </c>
      <c r="H24" s="37">
        <f t="shared" si="7"/>
        <v>8.6427601226798448E-2</v>
      </c>
      <c r="I24" s="37">
        <f t="shared" si="7"/>
        <v>0.1029312359814735</v>
      </c>
      <c r="J24" s="37">
        <f t="shared" si="7"/>
        <v>0.12099816854706512</v>
      </c>
      <c r="K24" s="37">
        <f t="shared" si="7"/>
        <v>6.6413537039795745E-2</v>
      </c>
      <c r="L24" s="37">
        <f t="shared" si="7"/>
        <v>7.896230462965087E-2</v>
      </c>
      <c r="N24" s="37">
        <f t="shared" si="6"/>
        <v>0.11102229593395663</v>
      </c>
      <c r="O24" s="37">
        <f t="shared" si="3"/>
        <v>0.11621857836588873</v>
      </c>
    </row>
    <row r="25" spans="2:15" x14ac:dyDescent="0.3">
      <c r="B25" s="38" t="s">
        <v>96</v>
      </c>
      <c r="C25" s="43">
        <f>IFERROR(('Historical FS'!C18-'Historical FS'!C26)/'Historical FS'!C23,0)</f>
        <v>71.228770425930904</v>
      </c>
      <c r="D25" s="43">
        <f>IFERROR(('Historical FS'!D18-'Historical FS'!D26)/'Historical FS'!D23,0)</f>
        <v>68.568603809983145</v>
      </c>
      <c r="E25" s="43">
        <f>IFERROR(('Historical FS'!E18-'Historical FS'!E26)/'Historical FS'!E23,0)</f>
        <v>28.449352765456698</v>
      </c>
      <c r="F25" s="43">
        <f>IFERROR(('Historical FS'!F18-'Historical FS'!F26)/'Historical FS'!F23,0)</f>
        <v>33.04280269715624</v>
      </c>
      <c r="G25" s="43">
        <f>IFERROR(('Historical FS'!G18-'Historical FS'!G26)/'Historical FS'!G23,0)</f>
        <v>44.355887809669362</v>
      </c>
      <c r="H25" s="43">
        <f>IFERROR(('Historical FS'!H18-'Historical FS'!H26)/'Historical FS'!H23,0)</f>
        <v>41.790692799496895</v>
      </c>
      <c r="I25" s="43">
        <f>IFERROR(('Historical FS'!I18-'Historical FS'!I26)/'Historical FS'!I23,0)</f>
        <v>37.39577708549669</v>
      </c>
      <c r="J25" s="43">
        <f>IFERROR(('Historical FS'!J18-'Historical FS'!J26)/'Historical FS'!J23,0)</f>
        <v>32.811717112638306</v>
      </c>
      <c r="K25" s="43">
        <f>IFERROR(('Historical FS'!K18-'Historical FS'!K26)/'Historical FS'!K23,0)</f>
        <v>21.935820632543393</v>
      </c>
      <c r="L25" s="43">
        <f>IFERROR(('Historical FS'!L18-'Historical FS'!L26)/'Historical FS'!L23,0)</f>
        <v>27.996929532777262</v>
      </c>
      <c r="M25" s="52"/>
      <c r="N25" s="43">
        <f t="shared" si="6"/>
        <v>40.757635467114888</v>
      </c>
      <c r="O25" s="43">
        <f t="shared" si="3"/>
        <v>35.219289891326468</v>
      </c>
    </row>
    <row r="26" spans="2:15" x14ac:dyDescent="0.3">
      <c r="B26" s="33"/>
    </row>
    <row r="27" spans="2:15" x14ac:dyDescent="0.3">
      <c r="B27" s="35" t="s">
        <v>97</v>
      </c>
      <c r="C27" s="44">
        <f>IFERROR('Historical FS'!C6/'Historical FS'!C60,0)</f>
        <v>10.41199364025992</v>
      </c>
      <c r="D27" s="44">
        <f>IFERROR('Historical FS'!D6/'Historical FS'!D60,0)</f>
        <v>9.7216331624899599</v>
      </c>
      <c r="E27" s="44">
        <f>IFERROR('Historical FS'!E6/'Historical FS'!E60,0)</f>
        <v>10.08746782150965</v>
      </c>
      <c r="F27" s="44">
        <f>IFERROR('Historical FS'!F6/'Historical FS'!F60,0)</f>
        <v>11.258369447755706</v>
      </c>
      <c r="G27" s="44">
        <f>IFERROR('Historical FS'!G6/'Historical FS'!G60,0)</f>
        <v>8.3441089552181449</v>
      </c>
      <c r="H27" s="44">
        <f>IFERROR('Historical FS'!H6/'Historical FS'!H60,0)</f>
        <v>7.5169136032070751</v>
      </c>
      <c r="I27" s="44">
        <f>IFERROR('Historical FS'!I6/'Historical FS'!I60,0)</f>
        <v>7.4377908707035241</v>
      </c>
      <c r="J27" s="44">
        <f>IFERROR('Historical FS'!J6/'Historical FS'!J60,0)</f>
        <v>7.2600464302880932</v>
      </c>
      <c r="K27" s="44">
        <f>IFERROR('Historical FS'!K6/'Historical FS'!K60,0)</f>
        <v>7.8600767331610131</v>
      </c>
      <c r="L27" s="44">
        <f>IFERROR('Historical FS'!L6/'Historical FS'!L60,0)</f>
        <v>7.9751535254829884</v>
      </c>
      <c r="M27" s="51"/>
      <c r="N27" s="44">
        <f t="shared" ref="N27:N31" si="8">IFERROR(AVERAGE(C27:L27),0)</f>
        <v>8.7873554190076071</v>
      </c>
      <c r="O27" s="44">
        <f t="shared" si="3"/>
        <v>8.1596312403505671</v>
      </c>
    </row>
    <row r="28" spans="2:15" x14ac:dyDescent="0.3">
      <c r="B28" s="33" t="s">
        <v>98</v>
      </c>
      <c r="C28" s="34">
        <f>IFERROR('Historical FS'!C9/'Historical FS'!C51,0)</f>
        <v>2.2949190749264319</v>
      </c>
      <c r="D28" s="34">
        <f>IFERROR('Historical FS'!D9/'Historical FS'!D51,0)</f>
        <v>2.3225286421484617</v>
      </c>
      <c r="E28" s="34">
        <f>IFERROR('Historical FS'!E9/'Historical FS'!E51,0)</f>
        <v>2.3642687164869227</v>
      </c>
      <c r="F28" s="34">
        <f>IFERROR('Historical FS'!F9/'Historical FS'!F51,0)</f>
        <v>2.6911813732408052</v>
      </c>
      <c r="G28" s="34">
        <f>IFERROR('Historical FS'!G9/'Historical FS'!G51,0)</f>
        <v>2.1739811305265078</v>
      </c>
      <c r="H28" s="34">
        <f>IFERROR('Historical FS'!H9/'Historical FS'!H51,0)</f>
        <v>2.7236239730475833</v>
      </c>
      <c r="I28" s="34">
        <f>IFERROR('Historical FS'!I9/'Historical FS'!I51,0)</f>
        <v>3.0258782249111338</v>
      </c>
      <c r="J28" s="34">
        <f>IFERROR('Historical FS'!J9/'Historical FS'!J51,0)</f>
        <v>2.6454072100886519</v>
      </c>
      <c r="K28" s="34">
        <f>IFERROR('Historical FS'!K9/'Historical FS'!K51,0)</f>
        <v>2.6244519714026882</v>
      </c>
      <c r="L28" s="34">
        <f>IFERROR('Historical FS'!L9/'Historical FS'!L51,0)</f>
        <v>2.5481713951593741</v>
      </c>
      <c r="N28" s="34">
        <f t="shared" si="8"/>
        <v>2.5414411711938567</v>
      </c>
      <c r="O28" s="34">
        <f t="shared" si="3"/>
        <v>2.5863116832810311</v>
      </c>
    </row>
    <row r="29" spans="2:15" x14ac:dyDescent="0.3">
      <c r="B29" s="33" t="s">
        <v>99</v>
      </c>
      <c r="C29" s="34">
        <f>IFERROR('Historical FS'!C9/'Historical FS'!C61,0)</f>
        <v>3.7049418715311351</v>
      </c>
      <c r="D29" s="34">
        <f>IFERROR('Historical FS'!D9/'Historical FS'!D61,0)</f>
        <v>4.2110100025956338</v>
      </c>
      <c r="E29" s="34">
        <f>IFERROR('Historical FS'!E9/'Historical FS'!E61,0)</f>
        <v>4.0972646403332211</v>
      </c>
      <c r="F29" s="34">
        <f>IFERROR('Historical FS'!F9/'Historical FS'!F61,0)</f>
        <v>3.8816393839182735</v>
      </c>
      <c r="G29" s="34">
        <f>IFERROR('Historical FS'!G9/'Historical FS'!G61,0)</f>
        <v>3.6948007160532823</v>
      </c>
      <c r="H29" s="34">
        <f>IFERROR('Historical FS'!H9/'Historical FS'!H61,0)</f>
        <v>3.3464386362380507</v>
      </c>
      <c r="I29" s="34">
        <f>IFERROR('Historical FS'!I9/'Historical FS'!I61,0)</f>
        <v>3.8267714760475569</v>
      </c>
      <c r="J29" s="34">
        <f>IFERROR('Historical FS'!J9/'Historical FS'!J61,0)</f>
        <v>3.8845850616452351</v>
      </c>
      <c r="K29" s="34">
        <f>IFERROR('Historical FS'!K9/'Historical FS'!K61,0)</f>
        <v>3.3844852193765096</v>
      </c>
      <c r="L29" s="34">
        <f>IFERROR('Historical FS'!L9/'Historical FS'!L61,0)</f>
        <v>4.0896409799275375</v>
      </c>
      <c r="M29">
        <f>IFERROR('Historical FS'!M9/'Historical FS'!M61,0)</f>
        <v>0</v>
      </c>
      <c r="N29" s="34">
        <f t="shared" si="8"/>
        <v>3.812157798766644</v>
      </c>
      <c r="O29" s="34">
        <f t="shared" si="3"/>
        <v>3.8542054299829154</v>
      </c>
    </row>
    <row r="30" spans="2:15" x14ac:dyDescent="0.3">
      <c r="B30" s="33" t="s">
        <v>100</v>
      </c>
      <c r="C30" s="34">
        <f>IFERROR('Historical FS'!C6/'Historical FS'!C54,0)</f>
        <v>4.5590724451682032</v>
      </c>
      <c r="D30" s="34">
        <f>IFERROR('Historical FS'!D6/'Historical FS'!D54,0)</f>
        <v>4.50789606241828</v>
      </c>
      <c r="E30" s="34">
        <f>IFERROR('Historical FS'!E6/'Historical FS'!E54,0)</f>
        <v>2.9615873631583485</v>
      </c>
      <c r="F30" s="34">
        <f>IFERROR('Historical FS'!F6/'Historical FS'!F54,0)</f>
        <v>3.2222976861794139</v>
      </c>
      <c r="G30" s="34">
        <f>IFERROR('Historical FS'!G6/'Historical FS'!G54,0)</f>
        <v>3.7061903006220001</v>
      </c>
      <c r="H30" s="34">
        <f>IFERROR('Historical FS'!H6/'Historical FS'!H54,0)</f>
        <v>5.2728689305787571</v>
      </c>
      <c r="I30" s="34">
        <f>IFERROR('Historical FS'!I6/'Historical FS'!I54,0)</f>
        <v>5.9767488207179316</v>
      </c>
      <c r="J30" s="34">
        <f>IFERROR('Historical FS'!J6/'Historical FS'!J54,0)</f>
        <v>4.9666457710078333</v>
      </c>
      <c r="K30" s="34">
        <f>IFERROR('Historical FS'!K6/'Historical FS'!K54,0)</f>
        <v>3.6773592477305019</v>
      </c>
      <c r="L30" s="34">
        <f>IFERROR('Historical FS'!L6/'Historical FS'!L54,0)</f>
        <v>3.6911313779267823</v>
      </c>
      <c r="N30" s="34">
        <f t="shared" si="8"/>
        <v>4.2541798005508049</v>
      </c>
      <c r="O30" s="34">
        <f t="shared" si="3"/>
        <v>4.1070431815201403</v>
      </c>
    </row>
    <row r="31" spans="2:15" x14ac:dyDescent="0.3">
      <c r="B31" s="38" t="s">
        <v>101</v>
      </c>
      <c r="C31" s="43">
        <f>IFERROR('Historical FS'!C6/SUM('Historical FS'!C48:C49),0)</f>
        <v>1.9808269188533763</v>
      </c>
      <c r="D31" s="43">
        <f>IFERROR('Historical FS'!D6/SUM('Historical FS'!D48:D49),0)</f>
        <v>2.0004863125027494</v>
      </c>
      <c r="E31" s="43">
        <f>IFERROR('Historical FS'!E6/SUM('Historical FS'!E48:E49),0)</f>
        <v>2.0315747237488848</v>
      </c>
      <c r="F31" s="43">
        <f>IFERROR('Historical FS'!F6/SUM('Historical FS'!F48:F49),0)</f>
        <v>1.995156048867935</v>
      </c>
      <c r="G31" s="43">
        <f>IFERROR('Historical FS'!G6/SUM('Historical FS'!G48:G49),0)</f>
        <v>1.6954785499937921</v>
      </c>
      <c r="H31" s="43">
        <f>IFERROR('Historical FS'!H6/SUM('Historical FS'!H48:H49),0)</f>
        <v>2.1070233919991659</v>
      </c>
      <c r="I31" s="43">
        <f>IFERROR('Historical FS'!I6/SUM('Historical FS'!I48:I49),0)</f>
        <v>2.1565841661857039</v>
      </c>
      <c r="J31" s="43">
        <f>IFERROR('Historical FS'!J6/SUM('Historical FS'!J48:J49),0)</f>
        <v>1.8952456976874572</v>
      </c>
      <c r="K31" s="43">
        <f>IFERROR('Historical FS'!K6/SUM('Historical FS'!K48:K49),0)</f>
        <v>1.7477294880723062</v>
      </c>
      <c r="L31" s="43">
        <f>IFERROR('Historical FS'!L6/SUM('Historical FS'!L48:L49),0)</f>
        <v>1.6649926374219235</v>
      </c>
      <c r="M31" s="52"/>
      <c r="N31" s="43">
        <f t="shared" si="8"/>
        <v>1.9275097935333296</v>
      </c>
      <c r="O31" s="43">
        <f t="shared" si="3"/>
        <v>1.9879914838606556</v>
      </c>
    </row>
    <row r="32" spans="2:15" x14ac:dyDescent="0.3"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spans="2:15" x14ac:dyDescent="0.3">
      <c r="B33" s="35" t="s">
        <v>102</v>
      </c>
      <c r="C33" s="45">
        <f t="shared" ref="C33:L33" si="9">IFERROR(365/C27,0)</f>
        <v>35.055726368162503</v>
      </c>
      <c r="D33" s="45">
        <f t="shared" si="9"/>
        <v>37.545131964896534</v>
      </c>
      <c r="E33" s="45">
        <f t="shared" si="9"/>
        <v>36.183510714324697</v>
      </c>
      <c r="F33" s="45">
        <f t="shared" si="9"/>
        <v>32.420325313872226</v>
      </c>
      <c r="G33" s="45">
        <f t="shared" si="9"/>
        <v>43.743436472235949</v>
      </c>
      <c r="H33" s="45">
        <f t="shared" si="9"/>
        <v>48.557163121347244</v>
      </c>
      <c r="I33" s="45">
        <f t="shared" si="9"/>
        <v>49.073711044725229</v>
      </c>
      <c r="J33" s="45">
        <f t="shared" si="9"/>
        <v>50.275160566089667</v>
      </c>
      <c r="K33" s="45">
        <f t="shared" si="9"/>
        <v>46.437205690384069</v>
      </c>
      <c r="L33" s="45">
        <f t="shared" si="9"/>
        <v>45.767144022208022</v>
      </c>
      <c r="M33" s="51"/>
      <c r="N33" s="45">
        <f t="shared" ref="N33:N36" si="10">IFERROR(AVERAGE(C33:L33),0)</f>
        <v>42.505851527824618</v>
      </c>
      <c r="O33" s="45">
        <f t="shared" si="3"/>
        <v>44.755290247221986</v>
      </c>
    </row>
    <row r="34" spans="2:15" x14ac:dyDescent="0.3">
      <c r="B34" s="33" t="s">
        <v>103</v>
      </c>
      <c r="C34" s="46">
        <f t="shared" ref="C34:L34" si="11">IFERROR(365/C28,0)</f>
        <v>159.0470025666159</v>
      </c>
      <c r="D34" s="46">
        <f t="shared" si="11"/>
        <v>157.15629653650072</v>
      </c>
      <c r="E34" s="46">
        <f t="shared" si="11"/>
        <v>154.38177456509897</v>
      </c>
      <c r="F34" s="46">
        <f t="shared" si="11"/>
        <v>135.62816821983853</v>
      </c>
      <c r="G34" s="46">
        <f t="shared" si="11"/>
        <v>167.89474152961122</v>
      </c>
      <c r="H34" s="46">
        <f t="shared" si="11"/>
        <v>134.01262568253333</v>
      </c>
      <c r="I34" s="46">
        <f t="shared" si="11"/>
        <v>120.62613656923341</v>
      </c>
      <c r="J34" s="46">
        <f t="shared" si="11"/>
        <v>137.97497739025528</v>
      </c>
      <c r="K34" s="46">
        <f t="shared" si="11"/>
        <v>139.07665447004496</v>
      </c>
      <c r="L34" s="46">
        <f t="shared" si="11"/>
        <v>143.23997227712826</v>
      </c>
      <c r="N34" s="46">
        <f t="shared" si="10"/>
        <v>144.9038349806861</v>
      </c>
      <c r="O34" s="46">
        <f t="shared" si="3"/>
        <v>141.15831337358662</v>
      </c>
    </row>
    <row r="35" spans="2:15" x14ac:dyDescent="0.3">
      <c r="B35" s="33" t="s">
        <v>104</v>
      </c>
      <c r="C35" s="46">
        <f t="shared" ref="C35:L35" si="12">IFERROR(365/C29,0)</f>
        <v>98.517065221635193</v>
      </c>
      <c r="D35" s="46">
        <f t="shared" si="12"/>
        <v>86.677542863830013</v>
      </c>
      <c r="E35" s="46">
        <f t="shared" si="12"/>
        <v>89.083823487251095</v>
      </c>
      <c r="F35" s="46">
        <f t="shared" si="12"/>
        <v>94.032434211226288</v>
      </c>
      <c r="G35" s="46">
        <f t="shared" si="12"/>
        <v>98.787465969175798</v>
      </c>
      <c r="H35" s="46">
        <f t="shared" si="12"/>
        <v>109.07117675712716</v>
      </c>
      <c r="I35" s="46">
        <f t="shared" si="12"/>
        <v>95.380662860220397</v>
      </c>
      <c r="J35" s="46">
        <f t="shared" si="12"/>
        <v>93.961129492016283</v>
      </c>
      <c r="K35" s="46">
        <f t="shared" si="12"/>
        <v>107.84505658654948</v>
      </c>
      <c r="L35" s="46">
        <f t="shared" si="12"/>
        <v>89.249888142129109</v>
      </c>
      <c r="N35" s="46">
        <f t="shared" si="10"/>
        <v>96.260624559116081</v>
      </c>
      <c r="O35" s="46">
        <f t="shared" si="3"/>
        <v>94.706548535723343</v>
      </c>
    </row>
    <row r="36" spans="2:15" x14ac:dyDescent="0.3">
      <c r="B36" s="38" t="s">
        <v>109</v>
      </c>
      <c r="C36" s="47">
        <f t="shared" ref="C36:L36" si="13">SUM(C33,C35)-C34</f>
        <v>-25.474210976818199</v>
      </c>
      <c r="D36" s="47">
        <f t="shared" si="13"/>
        <v>-32.933621707774165</v>
      </c>
      <c r="E36" s="47">
        <f t="shared" si="13"/>
        <v>-29.114440363523173</v>
      </c>
      <c r="F36" s="47">
        <f t="shared" si="13"/>
        <v>-9.175408694740014</v>
      </c>
      <c r="G36" s="47">
        <f t="shared" si="13"/>
        <v>-25.363839088199484</v>
      </c>
      <c r="H36" s="47">
        <f t="shared" si="13"/>
        <v>23.615714195941081</v>
      </c>
      <c r="I36" s="47">
        <f t="shared" si="13"/>
        <v>23.828237335712203</v>
      </c>
      <c r="J36" s="47">
        <f t="shared" si="13"/>
        <v>6.2613126678506887</v>
      </c>
      <c r="K36" s="47">
        <f t="shared" si="13"/>
        <v>15.205607806888594</v>
      </c>
      <c r="L36" s="47">
        <f t="shared" si="13"/>
        <v>-8.2229401127911217</v>
      </c>
      <c r="M36" s="52"/>
      <c r="N36" s="47">
        <f t="shared" si="10"/>
        <v>-6.1373588937453594</v>
      </c>
      <c r="O36" s="47">
        <f t="shared" si="3"/>
        <v>-8.6991744037655678</v>
      </c>
    </row>
    <row r="37" spans="2:15" x14ac:dyDescent="0.3">
      <c r="B37" s="33"/>
    </row>
    <row r="38" spans="2:15" x14ac:dyDescent="0.3">
      <c r="B38" s="40" t="s">
        <v>105</v>
      </c>
      <c r="C38" s="36">
        <f>IFERROR('Historical FS'!C71/'Historical FS'!C6,0)</f>
        <v>0.10140293546868641</v>
      </c>
      <c r="D38" s="36">
        <f>IFERROR('Historical FS'!D71/'Historical FS'!D6,0)</f>
        <v>0.12561643550644744</v>
      </c>
      <c r="E38" s="36">
        <f>IFERROR('Historical FS'!E71/'Historical FS'!E6,0)</f>
        <v>0.12835360260039821</v>
      </c>
      <c r="F38" s="36">
        <f>IFERROR('Historical FS'!F71/'Historical FS'!F6,0)</f>
        <v>0.15031974766528541</v>
      </c>
      <c r="G38" s="36">
        <f>IFERROR('Historical FS'!G71/'Historical FS'!G6,0)</f>
        <v>0.16963964557295491</v>
      </c>
      <c r="H38" s="36">
        <f>IFERROR('Historical FS'!H71/'Historical FS'!H6,0)</f>
        <v>3.3898508931565902E-2</v>
      </c>
      <c r="I38" s="36">
        <f>IFERROR('Historical FS'!I71/'Historical FS'!I6,0)</f>
        <v>0.12158890809975127</v>
      </c>
      <c r="J38" s="36">
        <f>IFERROR('Historical FS'!J71/'Historical FS'!J6,0)</f>
        <v>0.17195792164076187</v>
      </c>
      <c r="K38" s="36">
        <f>IFERROR('Historical FS'!K71/'Historical FS'!K6,0)</f>
        <v>0.13047866400909347</v>
      </c>
      <c r="L38" s="36">
        <f>IFERROR('Historical FS'!L71/'Historical FS'!L6,0)</f>
        <v>0.19919828100295811</v>
      </c>
      <c r="M38" s="51"/>
      <c r="N38" s="36">
        <f t="shared" ref="N38:N40" si="14">IFERROR(AVERAGE(C38:L38),0)</f>
        <v>0.13324546504979035</v>
      </c>
      <c r="O38" s="36">
        <f t="shared" si="3"/>
        <v>0.12941613330474583</v>
      </c>
    </row>
    <row r="39" spans="2:15" x14ac:dyDescent="0.3">
      <c r="B39" s="41" t="s">
        <v>106</v>
      </c>
      <c r="C39" s="37">
        <f>IFERROR('Historical FS'!C71/'Historical FS'!C65,0)</f>
        <v>0.12312024241466678</v>
      </c>
      <c r="D39" s="37">
        <f>IFERROR('Historical FS'!D71/'Historical FS'!D65,0)</f>
        <v>0.15355418833027695</v>
      </c>
      <c r="E39" s="37">
        <f>IFERROR('Historical FS'!E71/'Historical FS'!E65,0)</f>
        <v>0.15198254152296409</v>
      </c>
      <c r="F39" s="37">
        <f>IFERROR('Historical FS'!F71/'Historical FS'!F65,0)</f>
        <v>0.18826097706217076</v>
      </c>
      <c r="G39" s="37">
        <f>IFERROR('Historical FS'!G71/'Historical FS'!G65,0)</f>
        <v>0.18095251663691198</v>
      </c>
      <c r="H39" s="37">
        <f>IFERROR('Historical FS'!H71/'Historical FS'!H65,0)</f>
        <v>4.2968530513628325E-2</v>
      </c>
      <c r="I39" s="37">
        <f>IFERROR('Historical FS'!I71/'Historical FS'!I65,0)</f>
        <v>0.16266636875357118</v>
      </c>
      <c r="J39" s="37">
        <f>IFERROR('Historical FS'!J71/'Historical FS'!J65,0)</f>
        <v>0.20412852244273305</v>
      </c>
      <c r="K39" s="37">
        <f>IFERROR('Historical FS'!K71/'Historical FS'!K65,0)</f>
        <v>0.14573953434743578</v>
      </c>
      <c r="L39" s="37">
        <f>IFERROR('Historical FS'!L71/'Historical FS'!L65,0)</f>
        <v>0.20534289335506067</v>
      </c>
      <c r="N39" s="37">
        <f t="shared" si="14"/>
        <v>0.15587163153794195</v>
      </c>
      <c r="O39" s="37">
        <f t="shared" si="3"/>
        <v>0.15811027854192405</v>
      </c>
    </row>
    <row r="40" spans="2:15" x14ac:dyDescent="0.3">
      <c r="B40" s="42" t="s">
        <v>107</v>
      </c>
      <c r="C40" s="39">
        <f>IFERROR('Historical FS'!C71/'Historical FS'!C50,0)</f>
        <v>2.7257200985116175</v>
      </c>
      <c r="D40" s="39">
        <f>IFERROR('Historical FS'!D71/'Historical FS'!D50,0)</f>
        <v>3.9619818907822961</v>
      </c>
      <c r="E40" s="39">
        <f>IFERROR('Historical FS'!E71/'Historical FS'!E50,0)</f>
        <v>1.8714307365868446</v>
      </c>
      <c r="F40" s="39">
        <f>IFERROR('Historical FS'!F71/'Historical FS'!F50,0)</f>
        <v>2.7162717925793474</v>
      </c>
      <c r="G40" s="39">
        <f>IFERROR('Historical FS'!G71/'Historical FS'!G50,0)</f>
        <v>3.3695751610070261</v>
      </c>
      <c r="H40" s="39">
        <f>IFERROR('Historical FS'!H71/'Historical FS'!H50,0)</f>
        <v>0.6216538112522686</v>
      </c>
      <c r="I40" s="39">
        <f>IFERROR('Historical FS'!I71/'Historical FS'!I50,0)</f>
        <v>2.1698161045627185</v>
      </c>
      <c r="J40" s="39">
        <f>IFERROR('Historical FS'!J71/'Historical FS'!J50,0)</f>
        <v>2.4667189356525676</v>
      </c>
      <c r="K40" s="39">
        <f>IFERROR('Historical FS'!K71/'Historical FS'!K50,0)</f>
        <v>1.9316156469268084</v>
      </c>
      <c r="L40" s="39">
        <f>IFERROR('Historical FS'!L71/'Historical FS'!L50,0)</f>
        <v>1.8040993349334298</v>
      </c>
      <c r="M40" s="52"/>
      <c r="N40" s="39">
        <f t="shared" si="14"/>
        <v>2.3638883512794928</v>
      </c>
      <c r="O40" s="39">
        <f t="shared" si="3"/>
        <v>2.3182675201076428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61722C6C-B9BD-4DEE-A07D-F642B34D353D}">
          <x14:colorSeries theme="4" tint="0.39997558519241921"/>
          <x14:colorNegative rgb="FFD00000"/>
          <x14:colorAxis rgb="FF000000"/>
          <x14:colorMarkers theme="4" tint="-0.499984740745262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A6D4C246-E386-47C8-8731-249F7DDE7E4B}">
          <x14:colorSeries theme="4" tint="0.39997558519241921"/>
          <x14:colorNegative rgb="FFD00000"/>
          <x14:colorAxis rgb="FF000000"/>
          <x14:colorMarkers theme="4" tint="-0.499984740745262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markers="1" xr2:uid="{A96E8C3D-75FC-4CE3-B8D1-449524611A79}">
          <x14:colorSeries theme="4" tint="0.39997558519241921"/>
          <x14:colorNegative rgb="FFD00000"/>
          <x14:colorAxis rgb="FF000000"/>
          <x14:colorMarkers theme="4" tint="-0.499984740745262"/>
          <x14:colorFirst rgb="FFD00000"/>
          <x14:colorLast rgb="FFD00000"/>
          <x14:colorHigh rgb="FFD00000"/>
          <x14:colorLow rgb="FFD00000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markers="1" xr2:uid="{43D46C64-A0AF-4B8F-A543-4ECF960133B5}">
          <x14:colorSeries theme="4" tint="0.39997558519241921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markers="1" xr2:uid="{A50E69B9-7A13-49D4-956E-E9427D224411}">
          <x14:colorSeries theme="4" tint="0.39997558519241921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markers="1" xr2:uid="{2D80C6D7-7C65-446A-84C1-4CF4D2A015F1}">
          <x14:colorSeries theme="4" tint="0.39997558519241921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displayEmptyCellsAs="gap" markers="1" xr2:uid="{BD11155F-6C88-4CCF-B64F-6945647A0430}">
          <x14:colorSeries theme="4" tint="0.39997558519241921"/>
          <x14:colorNegative rgb="FFD00000"/>
          <x14:colorAxis rgb="FF000000"/>
          <x14:colorMarkers theme="4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F321-F090-4E29-9315-72A5B2CFA79A}">
  <sheetPr>
    <tabColor theme="4" tint="-0.249977111117893"/>
  </sheetPr>
  <dimension ref="B2:O247"/>
  <sheetViews>
    <sheetView showGridLines="0" topLeftCell="A6" zoomScale="107" workbookViewId="0">
      <selection activeCell="N19" sqref="N19"/>
    </sheetView>
  </sheetViews>
  <sheetFormatPr defaultRowHeight="14.4" x14ac:dyDescent="0.3"/>
  <cols>
    <col min="1" max="1" width="1.88671875" customWidth="1"/>
    <col min="2" max="2" width="24.88671875" bestFit="1" customWidth="1"/>
    <col min="3" max="12" width="8.21875" bestFit="1" customWidth="1"/>
  </cols>
  <sheetData>
    <row r="2" spans="2:15" x14ac:dyDescent="0.3">
      <c r="B2" s="77" t="str">
        <f>"Common Size Income Statement"&amp;"-"&amp;'Data Sheet'!$B$1</f>
        <v>Common Size Income Statement-ASIAN PAINTS LTD</v>
      </c>
      <c r="C2" s="77"/>
      <c r="D2" s="77"/>
      <c r="E2" s="77"/>
      <c r="F2" s="77"/>
      <c r="G2" s="77"/>
      <c r="H2" s="77"/>
      <c r="I2" s="77"/>
      <c r="J2" s="77"/>
      <c r="K2" s="77"/>
      <c r="L2" s="77"/>
    </row>
    <row r="4" spans="2:15" ht="15" thickBot="1" x14ac:dyDescent="0.35">
      <c r="B4" s="23" t="s">
        <v>82</v>
      </c>
      <c r="C4" s="24">
        <f>'Data Sheet'!B16</f>
        <v>42825</v>
      </c>
      <c r="D4" s="24">
        <f>'Data Sheet'!C16</f>
        <v>43190</v>
      </c>
      <c r="E4" s="24">
        <f>'Data Sheet'!D16</f>
        <v>43555</v>
      </c>
      <c r="F4" s="24">
        <f>'Data Sheet'!E16</f>
        <v>43921</v>
      </c>
      <c r="G4" s="24">
        <f>'Data Sheet'!F16</f>
        <v>44286</v>
      </c>
      <c r="H4" s="24">
        <f>'Data Sheet'!G16</f>
        <v>44651</v>
      </c>
      <c r="I4" s="24">
        <f>'Data Sheet'!H16</f>
        <v>45016</v>
      </c>
      <c r="J4" s="24">
        <f>'Data Sheet'!I16</f>
        <v>45382</v>
      </c>
      <c r="K4" s="24">
        <f>'Data Sheet'!J16</f>
        <v>45747</v>
      </c>
      <c r="L4" s="24">
        <f>'Data Sheet'!K16</f>
        <v>46112</v>
      </c>
    </row>
    <row r="6" spans="2:15" x14ac:dyDescent="0.3">
      <c r="B6" s="57" t="str">
        <f>'Data Sheet'!A17</f>
        <v>Sales</v>
      </c>
      <c r="C6" s="58">
        <f>'Data Sheet'!B17/'Data Sheet'!B$17</f>
        <v>1</v>
      </c>
      <c r="D6" s="58">
        <f>'Data Sheet'!C17/'Data Sheet'!C$17</f>
        <v>1</v>
      </c>
      <c r="E6" s="58">
        <f>'Data Sheet'!D17/'Data Sheet'!D$17</f>
        <v>1</v>
      </c>
      <c r="F6" s="58">
        <f>'Data Sheet'!E17/'Data Sheet'!E$17</f>
        <v>1</v>
      </c>
      <c r="G6" s="58">
        <f>'Data Sheet'!F17/'Data Sheet'!F$17</f>
        <v>1</v>
      </c>
      <c r="H6" s="58">
        <f>'Data Sheet'!G17/'Data Sheet'!G$17</f>
        <v>1</v>
      </c>
      <c r="I6" s="58">
        <f>'Data Sheet'!H17/'Data Sheet'!H$17</f>
        <v>1</v>
      </c>
      <c r="J6" s="58">
        <f>'Data Sheet'!I17/'Data Sheet'!I$17</f>
        <v>1</v>
      </c>
      <c r="K6" s="58">
        <f>'Data Sheet'!J17/'Data Sheet'!J$17</f>
        <v>1</v>
      </c>
      <c r="L6" s="58">
        <f>'Data Sheet'!K17/'Data Sheet'!K$17</f>
        <v>1</v>
      </c>
    </row>
    <row r="7" spans="2:15" x14ac:dyDescent="0.3">
      <c r="B7" s="25" t="str">
        <f>'Data Sheet'!A18</f>
        <v>Raw Material Cost</v>
      </c>
      <c r="C7" s="26">
        <f>'Data Sheet'!B18/'Data Sheet'!B$17</f>
        <v>0.4947951764673858</v>
      </c>
      <c r="D7" s="26">
        <f>'Data Sheet'!C18/'Data Sheet'!C$17</f>
        <v>0.48311366425847946</v>
      </c>
      <c r="E7" s="26">
        <f>'Data Sheet'!D18/'Data Sheet'!D$17</f>
        <v>0.51841645560606919</v>
      </c>
      <c r="F7" s="26">
        <f>'Data Sheet'!E18/'Data Sheet'!E$17</f>
        <v>0.4938828622673016</v>
      </c>
      <c r="G7" s="26">
        <f>'Data Sheet'!F18/'Data Sheet'!F$17</f>
        <v>0.48015708713619937</v>
      </c>
      <c r="H7" s="26">
        <f>'Data Sheet'!G18/'Data Sheet'!G$17</f>
        <v>0.58840195345359381</v>
      </c>
      <c r="I7" s="26">
        <f>'Data Sheet'!H18/'Data Sheet'!H$17</f>
        <v>0.55048727709657019</v>
      </c>
      <c r="J7" s="26">
        <f>'Data Sheet'!I18/'Data Sheet'!I$17</f>
        <v>0.49051901507632256</v>
      </c>
      <c r="K7" s="26">
        <f>'Data Sheet'!J18/'Data Sheet'!J$17</f>
        <v>0.51627163874307558</v>
      </c>
      <c r="L7" s="26">
        <f>'Data Sheet'!K18/'Data Sheet'!K$17</f>
        <v>0.48173987186210249</v>
      </c>
    </row>
    <row r="8" spans="2:15" x14ac:dyDescent="0.3">
      <c r="B8" s="25" t="str">
        <f>'Data Sheet'!A19</f>
        <v>Change in Inventory</v>
      </c>
      <c r="C8" s="26">
        <f>'Data Sheet'!B19/'Data Sheet'!B$17</f>
        <v>3.5094964211236368E-2</v>
      </c>
      <c r="D8" s="26">
        <f>'Data Sheet'!C19/'Data Sheet'!C$17</f>
        <v>-8.4477742346749252E-3</v>
      </c>
      <c r="E8" s="26">
        <f>'Data Sheet'!D19/'Data Sheet'!D$17</f>
        <v>1.5242100755036478E-2</v>
      </c>
      <c r="F8" s="26">
        <f>'Data Sheet'!E19/'Data Sheet'!E$17</f>
        <v>1.1832519017873709E-2</v>
      </c>
      <c r="G8" s="26">
        <f>'Data Sheet'!F19/'Data Sheet'!F$17</f>
        <v>4.2578590775298802E-3</v>
      </c>
      <c r="H8" s="26">
        <f>'Data Sheet'!G19/'Data Sheet'!G$17</f>
        <v>4.5529612443164016E-2</v>
      </c>
      <c r="I8" s="26">
        <f>'Data Sheet'!H19/'Data Sheet'!H$17</f>
        <v>8.9806512820616927E-3</v>
      </c>
      <c r="J8" s="26">
        <f>'Data Sheet'!I19/'Data Sheet'!I$17</f>
        <v>-1.0249408855906214E-2</v>
      </c>
      <c r="K8" s="26">
        <f>'Data Sheet'!J19/'Data Sheet'!J$17</f>
        <v>6.0461952915180431E-3</v>
      </c>
      <c r="L8" s="26">
        <f>'Data Sheet'!K19/'Data Sheet'!K$17</f>
        <v>-1.696514736869912E-2</v>
      </c>
    </row>
    <row r="9" spans="2:15" x14ac:dyDescent="0.3">
      <c r="B9" s="25" t="str">
        <f>'Data Sheet'!A20</f>
        <v>Power and Fuel</v>
      </c>
      <c r="C9" s="26">
        <f>'Data Sheet'!B20/'Data Sheet'!B$17</f>
        <v>7.0389105290867941E-3</v>
      </c>
      <c r="D9" s="26">
        <f>'Data Sheet'!C20/'Data Sheet'!C$17</f>
        <v>6.5558959972183504E-3</v>
      </c>
      <c r="E9" s="26">
        <f>'Data Sheet'!D20/'Data Sheet'!D$17</f>
        <v>6.2177334560629266E-3</v>
      </c>
      <c r="F9" s="26">
        <f>'Data Sheet'!E20/'Data Sheet'!E$17</f>
        <v>4.8383944585317588E-3</v>
      </c>
      <c r="G9" s="26">
        <f>'Data Sheet'!F20/'Data Sheet'!F$17</f>
        <v>3.9631019320870327E-3</v>
      </c>
      <c r="H9" s="26">
        <f>'Data Sheet'!G20/'Data Sheet'!G$17</f>
        <v>4.0283451449558234E-3</v>
      </c>
      <c r="I9" s="26">
        <f>'Data Sheet'!H20/'Data Sheet'!H$17</f>
        <v>4.0097319142359837E-3</v>
      </c>
      <c r="J9" s="26">
        <f>'Data Sheet'!I20/'Data Sheet'!I$17</f>
        <v>3.7540784223460775E-3</v>
      </c>
      <c r="K9" s="26">
        <f>'Data Sheet'!J20/'Data Sheet'!J$17</f>
        <v>4.3821643727500045E-3</v>
      </c>
      <c r="L9" s="26">
        <f>'Data Sheet'!K20/'Data Sheet'!K$17</f>
        <v>4.6959914612205531E-3</v>
      </c>
    </row>
    <row r="10" spans="2:15" x14ac:dyDescent="0.3">
      <c r="B10" s="25" t="str">
        <f>'Data Sheet'!A21</f>
        <v>Other Mfr. Exp</v>
      </c>
      <c r="C10" s="26">
        <f>'Data Sheet'!B21/'Data Sheet'!B$17</f>
        <v>0.11039377930804628</v>
      </c>
      <c r="D10" s="26">
        <f>'Data Sheet'!C21/'Data Sheet'!C$17</f>
        <v>0.10054830589822611</v>
      </c>
      <c r="E10" s="26">
        <f>'Data Sheet'!D21/'Data Sheet'!D$17</f>
        <v>9.679508402490003E-2</v>
      </c>
      <c r="F10" s="26">
        <f>'Data Sheet'!E21/'Data Sheet'!E$17</f>
        <v>9.6288947986888487E-2</v>
      </c>
      <c r="G10" s="26">
        <f>'Data Sheet'!F21/'Data Sheet'!F$17</f>
        <v>9.5257679920452407E-2</v>
      </c>
      <c r="H10" s="26">
        <f>'Data Sheet'!G21/'Data Sheet'!G$17</f>
        <v>9.8980182315004703E-2</v>
      </c>
      <c r="I10" s="26">
        <f>'Data Sheet'!H21/'Data Sheet'!H$17</f>
        <v>8.455550081925646E-2</v>
      </c>
      <c r="J10" s="26">
        <f>'Data Sheet'!I21/'Data Sheet'!I$17</f>
        <v>7.796030565664254E-2</v>
      </c>
      <c r="K10" s="26">
        <f>'Data Sheet'!J21/'Data Sheet'!J$17</f>
        <v>7.9261196226466282E-2</v>
      </c>
      <c r="L10" s="26">
        <f>'Data Sheet'!K21/'Data Sheet'!K$17</f>
        <v>7.7763763807648142E-2</v>
      </c>
      <c r="O10" s="27"/>
    </row>
    <row r="11" spans="2:15" x14ac:dyDescent="0.3">
      <c r="B11" s="25" t="str">
        <f>'Data Sheet'!A22</f>
        <v>Employee Cost</v>
      </c>
      <c r="C11" s="26">
        <f>'Data Sheet'!B22/'Data Sheet'!B$17</f>
        <v>6.9040677891832367E-2</v>
      </c>
      <c r="D11" s="26">
        <f>'Data Sheet'!C22/'Data Sheet'!C$17</f>
        <v>6.6681724028280112E-2</v>
      </c>
      <c r="E11" s="26">
        <f>'Data Sheet'!D22/'Data Sheet'!D$17</f>
        <v>6.4588440930492666E-2</v>
      </c>
      <c r="F11" s="26">
        <f>'Data Sheet'!E22/'Data Sheet'!E$17</f>
        <v>6.7846867462428101E-2</v>
      </c>
      <c r="G11" s="26">
        <f>'Data Sheet'!F22/'Data Sheet'!F$17</f>
        <v>7.1276422790438249E-2</v>
      </c>
      <c r="H11" s="26">
        <f>'Data Sheet'!G22/'Data Sheet'!G$17</f>
        <v>6.1667734202756716E-2</v>
      </c>
      <c r="I11" s="26">
        <f>'Data Sheet'!H22/'Data Sheet'!H$17</f>
        <v>5.9045904747048232E-2</v>
      </c>
      <c r="J11" s="26">
        <f>'Data Sheet'!I22/'Data Sheet'!I$17</f>
        <v>6.5782159774141119E-2</v>
      </c>
      <c r="K11" s="26">
        <f>'Data Sheet'!J22/'Data Sheet'!J$17</f>
        <v>7.6853925691375058E-2</v>
      </c>
      <c r="L11" s="26">
        <f>'Data Sheet'!K22/'Data Sheet'!K$17</f>
        <v>7.89615086076315E-2</v>
      </c>
    </row>
    <row r="12" spans="2:15" x14ac:dyDescent="0.3">
      <c r="B12" s="25" t="str">
        <f>'Data Sheet'!A23</f>
        <v>Selling and admin</v>
      </c>
      <c r="C12" s="26">
        <f>'Data Sheet'!B23/'Data Sheet'!B$17</f>
        <v>0.28973860691714709</v>
      </c>
      <c r="D12" s="26">
        <f>'Data Sheet'!C23/'Data Sheet'!C$17</f>
        <v>0.13402557572119314</v>
      </c>
      <c r="E12" s="26">
        <f>'Data Sheet'!D23/'Data Sheet'!D$17</f>
        <v>0.12301736006981241</v>
      </c>
      <c r="F12" s="26">
        <f>'Data Sheet'!E23/'Data Sheet'!E$17</f>
        <v>0.11436749335147506</v>
      </c>
      <c r="G12" s="26">
        <f>'Data Sheet'!F23/'Data Sheet'!F$17</f>
        <v>0.10342705842961683</v>
      </c>
      <c r="H12" s="26">
        <f>'Data Sheet'!G23/'Data Sheet'!G$17</f>
        <v>0.10109452230279906</v>
      </c>
      <c r="I12" s="26">
        <f>'Data Sheet'!H23/'Data Sheet'!H$17</f>
        <v>0.10150719411840266</v>
      </c>
      <c r="J12" s="26">
        <f>'Data Sheet'!I23/'Data Sheet'!I$17</f>
        <v>0.10739228048783579</v>
      </c>
      <c r="K12" s="26">
        <f>'Data Sheet'!J23/'Data Sheet'!J$17</f>
        <v>0.1142860682093411</v>
      </c>
      <c r="L12" s="26">
        <f>'Data Sheet'!K23/'Data Sheet'!K$17</f>
        <v>0.11556101500862476</v>
      </c>
    </row>
    <row r="13" spans="2:15" x14ac:dyDescent="0.3">
      <c r="B13" s="25" t="str">
        <f>'Data Sheet'!A24</f>
        <v>Other Expenses</v>
      </c>
      <c r="C13" s="26">
        <f>'Data Sheet'!B24/'Data Sheet'!B$17</f>
        <v>-0.13467476741121193</v>
      </c>
      <c r="D13" s="26">
        <f>'Data Sheet'!C24/'Data Sheet'!C$17</f>
        <v>1.0190465718251008E-2</v>
      </c>
      <c r="E13" s="26">
        <f>'Data Sheet'!D24/'Data Sheet'!D$17</f>
        <v>1.0525396657922789E-2</v>
      </c>
      <c r="F13" s="26">
        <f>'Data Sheet'!E24/'Data Sheet'!E$17</f>
        <v>2.8694415239037666E-2</v>
      </c>
      <c r="G13" s="26">
        <f>'Data Sheet'!F24/'Data Sheet'!F$17</f>
        <v>2.6547947085565692E-2</v>
      </c>
      <c r="H13" s="26">
        <f>'Data Sheet'!G24/'Data Sheet'!G$17</f>
        <v>2.6291627034962038E-2</v>
      </c>
      <c r="I13" s="26">
        <f>'Data Sheet'!H24/'Data Sheet'!H$17</f>
        <v>2.7870376840572496E-2</v>
      </c>
      <c r="J13" s="26">
        <f>'Data Sheet'!I24/'Data Sheet'!I$17</f>
        <v>3.0649620380264902E-2</v>
      </c>
      <c r="K13" s="26">
        <f>'Data Sheet'!J24/'Data Sheet'!J$17</f>
        <v>3.784623316134611E-2</v>
      </c>
      <c r="L13" s="26">
        <f>'Data Sheet'!K24/'Data Sheet'!K$17</f>
        <v>3.6030985112779669E-2</v>
      </c>
    </row>
    <row r="14" spans="2:15" x14ac:dyDescent="0.3">
      <c r="B14" s="25" t="str">
        <f>'Data Sheet'!A25</f>
        <v>Other Income</v>
      </c>
      <c r="C14" s="26">
        <f>'Data Sheet'!B25/'Data Sheet'!B$17</f>
        <v>2.2433954610247383E-2</v>
      </c>
      <c r="D14" s="26">
        <f>'Data Sheet'!C25/'Data Sheet'!C$17</f>
        <v>1.9995185606747286E-2</v>
      </c>
      <c r="E14" s="26">
        <f>'Data Sheet'!D25/'Data Sheet'!D$17</f>
        <v>1.422911383654892E-2</v>
      </c>
      <c r="F14" s="26">
        <f>'Data Sheet'!E25/'Data Sheet'!E$17</f>
        <v>1.7322035994804873E-2</v>
      </c>
      <c r="G14" s="26">
        <f>'Data Sheet'!F25/'Data Sheet'!F$17</f>
        <v>1.5274407388456295E-2</v>
      </c>
      <c r="H14" s="26">
        <f>'Data Sheet'!G25/'Data Sheet'!G$17</f>
        <v>1.0167250375241226E-2</v>
      </c>
      <c r="I14" s="26">
        <f>'Data Sheet'!H25/'Data Sheet'!H$17</f>
        <v>1.2510224395952401E-2</v>
      </c>
      <c r="J14" s="26">
        <f>'Data Sheet'!I25/'Data Sheet'!I$17</f>
        <v>2.3129067329149988E-2</v>
      </c>
      <c r="K14" s="26">
        <f>'Data Sheet'!J25/'Data Sheet'!J$17</f>
        <v>1.0329261048758288E-2</v>
      </c>
      <c r="L14" s="26">
        <f>'Data Sheet'!K25/'Data Sheet'!K$17</f>
        <v>2.0458054482493871E-2</v>
      </c>
    </row>
    <row r="15" spans="2:15" x14ac:dyDescent="0.3">
      <c r="B15" s="25" t="str">
        <f>'Data Sheet'!A26</f>
        <v>Depreciation</v>
      </c>
      <c r="C15" s="26">
        <f>'Data Sheet'!B26/'Data Sheet'!B$17</f>
        <v>2.2227474590011016E-2</v>
      </c>
      <c r="D15" s="26">
        <f>'Data Sheet'!C26/'Data Sheet'!C$17</f>
        <v>2.1425238713665449E-2</v>
      </c>
      <c r="E15" s="26">
        <f>'Data Sheet'!D26/'Data Sheet'!D$17</f>
        <v>3.2335540352378074E-2</v>
      </c>
      <c r="F15" s="26">
        <f>'Data Sheet'!E26/'Data Sheet'!E$17</f>
        <v>3.8617106809326486E-2</v>
      </c>
      <c r="G15" s="26">
        <f>'Data Sheet'!F26/'Data Sheet'!F$17</f>
        <v>3.6442576011650275E-2</v>
      </c>
      <c r="H15" s="26">
        <f>'Data Sheet'!G26/'Data Sheet'!G$17</f>
        <v>2.8052374328551871E-2</v>
      </c>
      <c r="I15" s="26">
        <f>'Data Sheet'!H26/'Data Sheet'!H$17</f>
        <v>2.4878372818372688E-2</v>
      </c>
      <c r="J15" s="26">
        <f>'Data Sheet'!I26/'Data Sheet'!I$17</f>
        <v>2.4031736542297968E-2</v>
      </c>
      <c r="K15" s="26">
        <f>'Data Sheet'!J26/'Data Sheet'!J$17</f>
        <v>3.0270497929251843E-2</v>
      </c>
      <c r="L15" s="26">
        <f>'Data Sheet'!K26/'Data Sheet'!K$17</f>
        <v>3.4534225656019608E-2</v>
      </c>
    </row>
    <row r="16" spans="2:15" x14ac:dyDescent="0.3">
      <c r="B16" s="25" t="str">
        <f>'Data Sheet'!A27</f>
        <v>Interest</v>
      </c>
      <c r="C16" s="26">
        <f>'Data Sheet'!B27/'Data Sheet'!B$17</f>
        <v>2.4784241657310885E-3</v>
      </c>
      <c r="D16" s="26">
        <f>'Data Sheet'!C27/'Data Sheet'!C$17</f>
        <v>2.4648504714836358E-3</v>
      </c>
      <c r="E16" s="26">
        <f>'Data Sheet'!D27/'Data Sheet'!D$17</f>
        <v>5.7416451967840128E-3</v>
      </c>
      <c r="F16" s="26">
        <f>'Data Sheet'!E27/'Data Sheet'!E$17</f>
        <v>5.0630218319005502E-3</v>
      </c>
      <c r="G16" s="26">
        <f>'Data Sheet'!F27/'Data Sheet'!F$17</f>
        <v>4.2200933182700148E-3</v>
      </c>
      <c r="H16" s="26">
        <f>'Data Sheet'!G27/'Data Sheet'!G$17</f>
        <v>3.2785499469439143E-3</v>
      </c>
      <c r="I16" s="26">
        <f>'Data Sheet'!H27/'Data Sheet'!H$17</f>
        <v>4.1883417095335005E-3</v>
      </c>
      <c r="J16" s="26">
        <f>'Data Sheet'!I27/'Data Sheet'!I$17</f>
        <v>5.7802947085384216E-3</v>
      </c>
      <c r="K16" s="26">
        <f>'Data Sheet'!J27/'Data Sheet'!J$17</f>
        <v>6.6956451467337858E-3</v>
      </c>
      <c r="L16" s="26">
        <f>'Data Sheet'!K27/'Data Sheet'!K$17</f>
        <v>5.4915840301442741E-3</v>
      </c>
    </row>
    <row r="17" spans="2:12" x14ac:dyDescent="0.3">
      <c r="B17" s="25" t="str">
        <f>'Data Sheet'!A28</f>
        <v>Profit before tax</v>
      </c>
      <c r="C17" s="26">
        <f>'Data Sheet'!B28/'Data Sheet'!B$17</f>
        <v>0.19649063636345529</v>
      </c>
      <c r="D17" s="26">
        <f>'Data Sheet'!C28/'Data Sheet'!C$17</f>
        <v>0.18654169056527517</v>
      </c>
      <c r="E17" s="26">
        <f>'Data Sheet'!D28/'Data Sheet'!D$17</f>
        <v>0.17183355829716326</v>
      </c>
      <c r="F17" s="26">
        <f>'Data Sheet'!E28/'Data Sheet'!E$17</f>
        <v>0.17955544560578884</v>
      </c>
      <c r="G17" s="26">
        <f>'Data Sheet'!F28/'Data Sheet'!F$17</f>
        <v>0.19824029984170621</v>
      </c>
      <c r="H17" s="26">
        <f>'Data Sheet'!G28/'Data Sheet'!G$17</f>
        <v>0.14390157408883733</v>
      </c>
      <c r="I17" s="26">
        <f>'Data Sheet'!H28/'Data Sheet'!H$17</f>
        <v>0.16494817561402192</v>
      </c>
      <c r="J17" s="26">
        <f>'Data Sheet'!I28/'Data Sheet'!I$17</f>
        <v>0.20701016742485434</v>
      </c>
      <c r="K17" s="26">
        <f>'Data Sheet'!J28/'Data Sheet'!J$17</f>
        <v>0.15050808685993647</v>
      </c>
      <c r="L17" s="26">
        <f>'Data Sheet'!K28/'Data Sheet'!K$17</f>
        <v>0.16871396156762367</v>
      </c>
    </row>
    <row r="18" spans="2:12" x14ac:dyDescent="0.3">
      <c r="B18" s="25" t="str">
        <f>'Data Sheet'!A29</f>
        <v>Tax</v>
      </c>
      <c r="C18" s="26">
        <f>'Data Sheet'!B29/'Data Sheet'!B$17</f>
        <v>6.2627182729506528E-2</v>
      </c>
      <c r="D18" s="26">
        <f>'Data Sheet'!C29/'Data Sheet'!C$17</f>
        <v>6.1871491362324706E-2</v>
      </c>
      <c r="E18" s="26">
        <f>'Data Sheet'!D29/'Data Sheet'!D$17</f>
        <v>5.7071339954563712E-2</v>
      </c>
      <c r="F18" s="26">
        <f>'Data Sheet'!E29/'Data Sheet'!E$17</f>
        <v>4.2295751128703075E-2</v>
      </c>
      <c r="G18" s="26">
        <f>'Data Sheet'!F29/'Data Sheet'!F$17</f>
        <v>5.05508504434483E-2</v>
      </c>
      <c r="H18" s="26">
        <f>'Data Sheet'!G29/'Data Sheet'!G$17</f>
        <v>3.7899020249281136E-2</v>
      </c>
      <c r="I18" s="26">
        <f>'Data Sheet'!H29/'Data Sheet'!H$17</f>
        <v>4.3304176830656176E-2</v>
      </c>
      <c r="J18" s="26">
        <f>'Data Sheet'!I29/'Data Sheet'!I$17</f>
        <v>5.0432275439198995E-2</v>
      </c>
      <c r="K18" s="26">
        <f>'Data Sheet'!J29/'Data Sheet'!J$17</f>
        <v>4.1095252055558924E-2</v>
      </c>
      <c r="L18" s="26">
        <f>'Data Sheet'!K29/'Data Sheet'!K$17</f>
        <v>4.5210510252774172E-2</v>
      </c>
    </row>
    <row r="19" spans="2:12" x14ac:dyDescent="0.3">
      <c r="B19" s="25" t="str">
        <f>'Data Sheet'!A30</f>
        <v>Net profit</v>
      </c>
      <c r="C19" s="26">
        <f>'Data Sheet'!B30/'Data Sheet'!B$17</f>
        <v>0.12876319795724203</v>
      </c>
      <c r="D19" s="26">
        <f>'Data Sheet'!C30/'Data Sheet'!C$17</f>
        <v>0.12118778808348515</v>
      </c>
      <c r="E19" s="26">
        <f>'Data Sheet'!D30/'Data Sheet'!D$17</f>
        <v>0.11205329693718286</v>
      </c>
      <c r="F19" s="26">
        <f>'Data Sheet'!E30/'Data Sheet'!E$17</f>
        <v>0.13384476467313997</v>
      </c>
      <c r="G19" s="26">
        <f>'Data Sheet'!F30/'Data Sheet'!F$17</f>
        <v>0.14458252486207437</v>
      </c>
      <c r="H19" s="26">
        <f>'Data Sheet'!G30/'Data Sheet'!G$17</f>
        <v>0.10413871829692715</v>
      </c>
      <c r="I19" s="26">
        <f>'Data Sheet'!H30/'Data Sheet'!H$17</f>
        <v>0.11906691459407301</v>
      </c>
      <c r="J19" s="26">
        <f>'Data Sheet'!I30/'Data Sheet'!I$17</f>
        <v>0.15383213226301479</v>
      </c>
      <c r="K19" s="26">
        <f>'Data Sheet'!J30/'Data Sheet'!J$17</f>
        <v>0.10815994516543274</v>
      </c>
      <c r="L19" s="26">
        <f>'Data Sheet'!K30/'Data Sheet'!K$17</f>
        <v>0.12155479752717127</v>
      </c>
    </row>
    <row r="20" spans="2:12" x14ac:dyDescent="0.3">
      <c r="B20" s="25" t="str">
        <f>'Data Sheet'!A31</f>
        <v>Dividend Amount</v>
      </c>
      <c r="C20" s="26">
        <f>'Data Sheet'!B31/'Data Sheet'!B$17</f>
        <v>6.559425414570054E-2</v>
      </c>
      <c r="D20" s="26">
        <f>'Data Sheet'!C31/'Data Sheet'!C$17</f>
        <v>4.9600137893732674E-2</v>
      </c>
      <c r="E20" s="26">
        <f>'Data Sheet'!D31/'Data Sheet'!D$17</f>
        <v>5.2346839652330827E-2</v>
      </c>
      <c r="F20" s="26">
        <f>'Data Sheet'!E31/'Data Sheet'!E$17</f>
        <v>5.6950460758241075E-2</v>
      </c>
      <c r="G20" s="26">
        <f>'Data Sheet'!F31/'Data Sheet'!F$17</f>
        <v>7.8855365892637475E-2</v>
      </c>
      <c r="H20" s="26">
        <f>'Data Sheet'!G31/'Data Sheet'!G$17</f>
        <v>6.3119904004222488E-2</v>
      </c>
      <c r="I20" s="26">
        <f>'Data Sheet'!H31/'Data Sheet'!H$17</f>
        <v>7.1338086016273797E-2</v>
      </c>
      <c r="J20" s="26">
        <f>'Data Sheet'!I31/'Data Sheet'!I$17</f>
        <v>8.998913359814259E-2</v>
      </c>
      <c r="K20" s="26">
        <f>'Data Sheet'!J31/'Data Sheet'!J$17</f>
        <v>7.0160050162775378E-2</v>
      </c>
      <c r="L20" s="26">
        <f>'Data Sheet'!K31/'Data Sheet'!K$17</f>
        <v>7.4129780229847855E-2</v>
      </c>
    </row>
    <row r="21" spans="2:12" x14ac:dyDescent="0.3">
      <c r="B21" s="25"/>
    </row>
    <row r="22" spans="2:12" x14ac:dyDescent="0.3">
      <c r="B22" s="77" t="str">
        <f>"Common Size Balance Sheet"&amp;"-"&amp;'Data Sheet'!$B$1</f>
        <v>Common Size Balance Sheet-ASIAN PAINTS LTD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</row>
    <row r="24" spans="2:12" ht="15" thickBot="1" x14ac:dyDescent="0.35">
      <c r="B24" s="23" t="s">
        <v>82</v>
      </c>
      <c r="C24" s="24">
        <f>'Data Sheet'!B56</f>
        <v>42825</v>
      </c>
      <c r="D24" s="24">
        <f>'Data Sheet'!C56</f>
        <v>43190</v>
      </c>
      <c r="E24" s="24">
        <f>'Data Sheet'!D56</f>
        <v>43555</v>
      </c>
      <c r="F24" s="24">
        <f>'Data Sheet'!E56</f>
        <v>43921</v>
      </c>
      <c r="G24" s="24">
        <f>'Data Sheet'!F56</f>
        <v>44286</v>
      </c>
      <c r="H24" s="24">
        <f>'Data Sheet'!G56</f>
        <v>44651</v>
      </c>
      <c r="I24" s="24">
        <f>'Data Sheet'!H56</f>
        <v>45016</v>
      </c>
      <c r="J24" s="24">
        <f>'Data Sheet'!I56</f>
        <v>45382</v>
      </c>
      <c r="K24" s="24">
        <f>'Data Sheet'!J56</f>
        <v>45747</v>
      </c>
      <c r="L24" s="24">
        <f>'Data Sheet'!K56</f>
        <v>46112</v>
      </c>
    </row>
    <row r="26" spans="2:12" x14ac:dyDescent="0.3">
      <c r="B26" s="25" t="str">
        <f>'Historical FS'!B48</f>
        <v>Equity Share Capital</v>
      </c>
      <c r="C26" s="26">
        <f>IFERROR('Historical FS'!C48/'Historical FS'!C$52,0)</f>
        <v>7.732247551226543E-3</v>
      </c>
      <c r="D26" s="26">
        <f>IFERROR('Historical FS'!D48/'Historical FS'!D$52,0)</f>
        <v>6.969167681429406E-3</v>
      </c>
      <c r="E26" s="26">
        <f>IFERROR('Historical FS'!E48/'Historical FS'!E$52,0)</f>
        <v>5.9031906277617358E-3</v>
      </c>
      <c r="F26" s="26">
        <f>IFERROR('Historical FS'!F48/'Historical FS'!F$52,0)</f>
        <v>5.9437463324073601E-3</v>
      </c>
      <c r="G26" s="26">
        <f>IFERROR('Historical FS'!G48/'Historical FS'!G$52,0)</f>
        <v>4.712276974985434E-3</v>
      </c>
      <c r="H26" s="26">
        <f>IFERROR('Historical FS'!H48/'Historical FS'!H$52,0)</f>
        <v>4.1779860382439044E-3</v>
      </c>
      <c r="I26" s="26">
        <f>IFERROR('Historical FS'!I48/'Historical FS'!I$52,0)</f>
        <v>3.7208104322338864E-3</v>
      </c>
      <c r="J26" s="26">
        <f>IFERROR('Historical FS'!J48/'Historical FS'!J$52,0)</f>
        <v>3.2079441432444717E-3</v>
      </c>
      <c r="K26" s="26">
        <f>IFERROR('Historical FS'!K48/'Historical FS'!K$52,0)</f>
        <v>3.1599146770328033E-3</v>
      </c>
      <c r="L26" s="26">
        <f>IFERROR('Historical FS'!L48/'Historical FS'!L$52,0)</f>
        <v>2.7787796487416258E-3</v>
      </c>
    </row>
    <row r="27" spans="2:12" x14ac:dyDescent="0.3">
      <c r="B27" s="25" t="str">
        <f>'Historical FS'!B49</f>
        <v>Reserves</v>
      </c>
      <c r="C27" s="26">
        <f>IFERROR('Historical FS'!C49/'Historical FS'!C$52,0)</f>
        <v>0.60522813435344402</v>
      </c>
      <c r="D27" s="26">
        <f>IFERROR('Historical FS'!D49/'Historical FS'!D$52,0)</f>
        <v>0.60408486807115636</v>
      </c>
      <c r="E27" s="26">
        <f>IFERROR('Historical FS'!E49/'Historical FS'!E$52,0)</f>
        <v>0.57694149243884485</v>
      </c>
      <c r="F27" s="26">
        <f>IFERROR('Historical FS'!F49/'Historical FS'!F$52,0)</f>
        <v>0.62177832775745645</v>
      </c>
      <c r="G27" s="26">
        <f>IFERROR('Historical FS'!G49/'Historical FS'!G$52,0)</f>
        <v>0.62442435252862394</v>
      </c>
      <c r="H27" s="26">
        <f>IFERROR('Historical FS'!H49/'Historical FS'!H$52,0)</f>
        <v>0.59741193104232293</v>
      </c>
      <c r="I27" s="26">
        <f>IFERROR('Historical FS'!I49/'Historical FS'!I$52,0)</f>
        <v>0.61663006757739625</v>
      </c>
      <c r="J27" s="26">
        <f>IFERROR('Historical FS'!J49/'Historical FS'!J$52,0)</f>
        <v>0.62314047430885566</v>
      </c>
      <c r="K27" s="26">
        <f>IFERROR('Historical FS'!K49/'Historical FS'!K$52,0)</f>
        <v>0.63593249932054585</v>
      </c>
      <c r="L27" s="26">
        <f>IFERROR('Historical FS'!L49/'Historical FS'!L$52,0)</f>
        <v>0.61635111352525795</v>
      </c>
    </row>
    <row r="28" spans="2:12" x14ac:dyDescent="0.3">
      <c r="B28" s="25" t="str">
        <f>'Historical FS'!B50</f>
        <v>Borrowings</v>
      </c>
      <c r="C28" s="26">
        <f>IFERROR('Historical FS'!C50/'Historical FS'!C$52,0)</f>
        <v>4.5169803928839465E-2</v>
      </c>
      <c r="D28" s="26">
        <f>IFERROR('Historical FS'!D50/'Historical FS'!D$52,0)</f>
        <v>3.8756913222528021E-2</v>
      </c>
      <c r="E28" s="26">
        <f>IFERROR('Historical FS'!E50/'Historical FS'!E$52,0)</f>
        <v>8.1211951130049892E-2</v>
      </c>
      <c r="F28" s="26">
        <f>IFERROR('Historical FS'!F50/'Historical FS'!F$52,0)</f>
        <v>6.9308593336088742E-2</v>
      </c>
      <c r="G28" s="26">
        <f>IFERROR('Historical FS'!G50/'Historical FS'!G$52,0)</f>
        <v>5.3701878720768106E-2</v>
      </c>
      <c r="H28" s="26">
        <f>IFERROR('Historical FS'!H50/'Historical FS'!H$52,0)</f>
        <v>6.9119708969646448E-2</v>
      </c>
      <c r="I28" s="26">
        <f>IFERROR('Historical FS'!I50/'Historical FS'!I$52,0)</f>
        <v>7.4967813360548932E-2</v>
      </c>
      <c r="J28" s="26">
        <f>IFERROR('Historical FS'!J50/'Historical FS'!J$52,0)</f>
        <v>8.2753052847802919E-2</v>
      </c>
      <c r="K28" s="26">
        <f>IFERROR('Historical FS'!K50/'Historical FS'!K$52,0)</f>
        <v>7.5449551560273762E-2</v>
      </c>
      <c r="L28" s="26">
        <f>IFERROR('Historical FS'!L50/'Historical FS'!L$52,0)</f>
        <v>0.1138201701973565</v>
      </c>
    </row>
    <row r="29" spans="2:12" x14ac:dyDescent="0.3">
      <c r="B29" s="25" t="str">
        <f>'Historical FS'!B51</f>
        <v>Other Liabilities</v>
      </c>
      <c r="C29" s="26">
        <f>IFERROR('Historical FS'!C51/'Historical FS'!C$52,0)</f>
        <v>0.34186981416648998</v>
      </c>
      <c r="D29" s="26">
        <f>IFERROR('Historical FS'!D51/'Historical FS'!D$52,0)</f>
        <v>0.35018905102488612</v>
      </c>
      <c r="E29" s="26">
        <f>IFERROR('Historical FS'!E51/'Historical FS'!E$52,0)</f>
        <v>0.3359433658033435</v>
      </c>
      <c r="F29" s="26">
        <f>IFERROR('Historical FS'!F51/'Historical FS'!F$52,0)</f>
        <v>0.30296933257404746</v>
      </c>
      <c r="G29" s="26">
        <f>IFERROR('Historical FS'!G51/'Historical FS'!G$52,0)</f>
        <v>0.31716149177562253</v>
      </c>
      <c r="H29" s="26">
        <f>IFERROR('Historical FS'!H51/'Historical FS'!H$52,0)</f>
        <v>0.32929037394978661</v>
      </c>
      <c r="I29" s="26">
        <f>IFERROR('Historical FS'!I51/'Historical FS'!I$52,0)</f>
        <v>0.30468130862982085</v>
      </c>
      <c r="J29" s="26">
        <f>IFERROR('Historical FS'!J51/'Historical FS'!J$52,0)</f>
        <v>0.29089852870009703</v>
      </c>
      <c r="K29" s="26">
        <f>IFERROR('Historical FS'!K51/'Historical FS'!K$52,0)</f>
        <v>0.28545803444214757</v>
      </c>
      <c r="L29" s="26">
        <f>IFERROR('Historical FS'!L51/'Historical FS'!L$52,0)</f>
        <v>0.26704993662864385</v>
      </c>
    </row>
    <row r="30" spans="2:12" x14ac:dyDescent="0.3">
      <c r="B30" s="57" t="str">
        <f>'Historical FS'!B52</f>
        <v>Total Liabilities</v>
      </c>
      <c r="C30" s="58">
        <f>'Historical FS'!C52/'Historical FS'!C52</f>
        <v>1</v>
      </c>
      <c r="D30" s="58">
        <f>'Historical FS'!D52/'Historical FS'!D52</f>
        <v>1</v>
      </c>
      <c r="E30" s="58">
        <f>'Historical FS'!E52/'Historical FS'!E52</f>
        <v>1</v>
      </c>
      <c r="F30" s="58">
        <f>'Historical FS'!F52/'Historical FS'!F52</f>
        <v>1</v>
      </c>
      <c r="G30" s="58">
        <f>'Historical FS'!G52/'Historical FS'!G52</f>
        <v>1</v>
      </c>
      <c r="H30" s="58">
        <f>'Historical FS'!H52/'Historical FS'!H52</f>
        <v>1</v>
      </c>
      <c r="I30" s="58">
        <f>'Historical FS'!I52/'Historical FS'!I52</f>
        <v>1</v>
      </c>
      <c r="J30" s="58">
        <f>'Historical FS'!J52/'Historical FS'!J52</f>
        <v>1</v>
      </c>
      <c r="K30" s="58">
        <f>'Historical FS'!K52/'Historical FS'!K52</f>
        <v>1</v>
      </c>
      <c r="L30" s="58">
        <f>'Historical FS'!L52/'Historical FS'!L52</f>
        <v>1</v>
      </c>
    </row>
    <row r="31" spans="2:12" x14ac:dyDescent="0.3">
      <c r="B31" s="25"/>
    </row>
    <row r="32" spans="2:12" x14ac:dyDescent="0.3">
      <c r="B32" s="25" t="str">
        <f>'Historical FS'!B54</f>
        <v>Fixed Assets Net Block</v>
      </c>
      <c r="C32" s="26">
        <f>IFERROR('Historical FS'!C54/'Historical FS'!C$65,0)</f>
        <v>0.26631917769901148</v>
      </c>
      <c r="D32" s="26">
        <f>IFERROR('Historical FS'!D54/'Historical FS'!D$65,0)</f>
        <v>0.2711697913609058</v>
      </c>
      <c r="E32" s="26">
        <f>IFERROR('Historical FS'!E54/'Historical FS'!E$65,0)</f>
        <v>0.39981684846425963</v>
      </c>
      <c r="F32" s="26">
        <f>IFERROR('Historical FS'!F54/'Historical FS'!F$65,0)</f>
        <v>0.38866784360114687</v>
      </c>
      <c r="G32" s="26">
        <f>IFERROR('Historical FS'!G54/'Historical FS'!G$65,0)</f>
        <v>0.28781243644173965</v>
      </c>
      <c r="H32" s="26">
        <f>IFERROR('Historical FS'!H54/'Historical FS'!H$65,0)</f>
        <v>0.240393615765538</v>
      </c>
      <c r="I32" s="26">
        <f>IFERROR('Historical FS'!I54/'Historical FS'!I$65,0)</f>
        <v>0.22384057304825222</v>
      </c>
      <c r="J32" s="26">
        <f>IFERROR('Historical FS'!J54/'Historical FS'!J$65,0)</f>
        <v>0.23901123616549003</v>
      </c>
      <c r="K32" s="26">
        <f>IFERROR('Historical FS'!K54/'Historical FS'!K$65,0)</f>
        <v>0.30373988025135684</v>
      </c>
      <c r="L32" s="26">
        <f>IFERROR('Historical FS'!L54/'Historical FS'!L$65,0)</f>
        <v>0.27927662502263262</v>
      </c>
    </row>
    <row r="33" spans="2:14" x14ac:dyDescent="0.3">
      <c r="B33" s="25" t="str">
        <f>'Historical FS'!B55</f>
        <v>Capital Work in Progress</v>
      </c>
      <c r="C33" s="26">
        <f>IFERROR('Historical FS'!C55/'Historical FS'!C$65,0)</f>
        <v>2.076066549565142E-2</v>
      </c>
      <c r="D33" s="26">
        <f>IFERROR('Historical FS'!D55/'Historical FS'!D$65,0)</f>
        <v>0.10208973311982143</v>
      </c>
      <c r="E33" s="26">
        <f>IFERROR('Historical FS'!E55/'Historical FS'!E$65,0)</f>
        <v>1.2903690355742316E-2</v>
      </c>
      <c r="F33" s="26">
        <f>IFERROR('Historical FS'!F55/'Historical FS'!F$65,0)</f>
        <v>8.6900644876648052E-3</v>
      </c>
      <c r="G33" s="26">
        <f>IFERROR('Historical FS'!G55/'Historical FS'!G$65,0)</f>
        <v>8.9892873319728384E-3</v>
      </c>
      <c r="H33" s="26">
        <f>IFERROR('Historical FS'!H55/'Historical FS'!H$65,0)</f>
        <v>1.8574005278235488E-2</v>
      </c>
      <c r="I33" s="26">
        <f>IFERROR('Historical FS'!I55/'Historical FS'!I$65,0)</f>
        <v>3.9550678780247588E-2</v>
      </c>
      <c r="J33" s="26">
        <f>IFERROR('Historical FS'!J55/'Historical FS'!J$65,0)</f>
        <v>9.0244164280719172E-2</v>
      </c>
      <c r="K33" s="26">
        <f>IFERROR('Historical FS'!K55/'Historical FS'!K$65,0)</f>
        <v>4.1326953327678079E-2</v>
      </c>
      <c r="L33" s="26">
        <f>IFERROR('Historical FS'!L55/'Historical FS'!L$65,0)</f>
        <v>5.3555531414086546E-2</v>
      </c>
    </row>
    <row r="34" spans="2:14" x14ac:dyDescent="0.3">
      <c r="B34" s="25" t="str">
        <f>'Historical FS'!B56</f>
        <v>Investments</v>
      </c>
      <c r="C34" s="26">
        <f>IFERROR('Historical FS'!C56/'Historical FS'!C$65,0)</f>
        <v>0.21378068372995496</v>
      </c>
      <c r="D34" s="26">
        <f>IFERROR('Historical FS'!D56/'Historical FS'!D$65,0)</f>
        <v>0.15553479207293502</v>
      </c>
      <c r="E34" s="26">
        <f>IFERROR('Historical FS'!E56/'Historical FS'!E$65,0)</f>
        <v>0.15807774585755044</v>
      </c>
      <c r="F34" s="26">
        <f>IFERROR('Historical FS'!F56/'Historical FS'!F$65,0)</f>
        <v>0.12509937743099037</v>
      </c>
      <c r="G34" s="26">
        <f>IFERROR('Historical FS'!G56/'Historical FS'!G$65,0)</f>
        <v>0.23270552100824649</v>
      </c>
      <c r="H34" s="26">
        <f>IFERROR('Historical FS'!H56/'Historical FS'!H$65,0)</f>
        <v>0.14145261675123255</v>
      </c>
      <c r="I34" s="26">
        <f>IFERROR('Historical FS'!I56/'Historical FS'!I$65,0)</f>
        <v>0.16531500236817637</v>
      </c>
      <c r="J34" s="26">
        <f>IFERROR('Historical FS'!J56/'Historical FS'!J$65,0)</f>
        <v>0.15343818904998097</v>
      </c>
      <c r="K34" s="26">
        <f>IFERROR('Historical FS'!K56/'Historical FS'!K$65,0)</f>
        <v>0.1556485286729643</v>
      </c>
      <c r="L34" s="26">
        <f>IFERROR('Historical FS'!L56/'Historical FS'!L$65,0)</f>
        <v>0.20457693282636247</v>
      </c>
    </row>
    <row r="35" spans="2:14" x14ac:dyDescent="0.3">
      <c r="B35" s="25" t="str">
        <f>'Historical FS'!B57</f>
        <v>Other Assets</v>
      </c>
      <c r="C35" s="26">
        <f>IFERROR('Historical FS'!C57/'Historical FS'!C$65,0)</f>
        <v>0.10617894607015291</v>
      </c>
      <c r="D35" s="26">
        <f>IFERROR('Historical FS'!D57/'Historical FS'!D$65,0)</f>
        <v>0.12292240043942376</v>
      </c>
      <c r="E35" s="26">
        <f>IFERROR('Historical FS'!E57/'Historical FS'!E$65,0)</f>
        <v>9.0588620479984977E-2</v>
      </c>
      <c r="F35" s="26">
        <f>IFERROR('Historical FS'!F57/'Historical FS'!F$65,0)</f>
        <v>0.10774031678085905</v>
      </c>
      <c r="G35" s="26">
        <f>IFERROR('Historical FS'!G57/'Historical FS'!G$65,0)</f>
        <v>0.1260367058472126</v>
      </c>
      <c r="H35" s="26">
        <f>IFERROR('Historical FS'!H57/'Historical FS'!H$65,0)</f>
        <v>0.12529863758105408</v>
      </c>
      <c r="I35" s="26">
        <f>IFERROR('Historical FS'!I57/'Historical FS'!I$65,0)</f>
        <v>0.11777536499203044</v>
      </c>
      <c r="J35" s="26">
        <f>IFERROR('Historical FS'!J57/'Historical FS'!J$65,0)</f>
        <v>0.1194414056895525</v>
      </c>
      <c r="K35" s="26">
        <f>IFERROR('Historical FS'!K57/'Historical FS'!K$65,0)</f>
        <v>0.11006366279309181</v>
      </c>
      <c r="L35" s="26">
        <f>IFERROR('Historical FS'!L57/'Historical FS'!L$65,0)</f>
        <v>0.13583603114249501</v>
      </c>
    </row>
    <row r="36" spans="2:14" x14ac:dyDescent="0.3">
      <c r="B36" s="25" t="str">
        <f>'Historical FS'!B58</f>
        <v>Total Non Current Assets</v>
      </c>
      <c r="C36" s="26">
        <f>IFERROR('Historical FS'!C58/'Historical FS'!C$65,0)</f>
        <v>0.60703947299477079</v>
      </c>
      <c r="D36" s="26">
        <f>IFERROR('Historical FS'!D58/'Historical FS'!D$65,0)</f>
        <v>0.65171671699308598</v>
      </c>
      <c r="E36" s="26">
        <f>IFERROR('Historical FS'!E58/'Historical FS'!E$65,0)</f>
        <v>0.6613869051575374</v>
      </c>
      <c r="F36" s="26">
        <f>IFERROR('Historical FS'!F58/'Historical FS'!F$65,0)</f>
        <v>0.63019760230066113</v>
      </c>
      <c r="G36" s="26">
        <f>IFERROR('Historical FS'!G58/'Historical FS'!G$65,0)</f>
        <v>0.65554395062917148</v>
      </c>
      <c r="H36" s="26">
        <f>IFERROR('Historical FS'!H58/'Historical FS'!H$65,0)</f>
        <v>0.5257188753760601</v>
      </c>
      <c r="I36" s="26">
        <f>IFERROR('Historical FS'!I58/'Historical FS'!I$65,0)</f>
        <v>0.54648161918870664</v>
      </c>
      <c r="J36" s="26">
        <f>IFERROR('Historical FS'!J58/'Historical FS'!J$65,0)</f>
        <v>0.60213499518574276</v>
      </c>
      <c r="K36" s="26">
        <f>IFERROR('Historical FS'!K58/'Historical FS'!K$65,0)</f>
        <v>0.61077902504509096</v>
      </c>
      <c r="L36" s="26">
        <f>IFERROR('Historical FS'!L58/'Historical FS'!L$65,0)</f>
        <v>0.67324512040557671</v>
      </c>
    </row>
    <row r="37" spans="2:14" x14ac:dyDescent="0.3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2:14" x14ac:dyDescent="0.3">
      <c r="B38" s="25" t="str">
        <f>'Historical FS'!B60</f>
        <v>Receivables</v>
      </c>
      <c r="C38" s="26">
        <f>IFERROR('Historical FS'!C60/'Historical FS'!C$65,0)</f>
        <v>0.11661248235617512</v>
      </c>
      <c r="D38" s="26">
        <f>IFERROR('Historical FS'!D60/'Historical FS'!D$65,0)</f>
        <v>0.12574072836230374</v>
      </c>
      <c r="E38" s="26">
        <f>IFERROR('Historical FS'!E60/'Historical FS'!E$65,0)</f>
        <v>0.11738253315313585</v>
      </c>
      <c r="F38" s="26">
        <f>IFERROR('Historical FS'!F60/'Historical FS'!F$65,0)</f>
        <v>0.11124199636013699</v>
      </c>
      <c r="G38" s="26">
        <f>IFERROR('Historical FS'!G60/'Historical FS'!G$65,0)</f>
        <v>0.12783721618012767</v>
      </c>
      <c r="H38" s="26">
        <f>IFERROR('Historical FS'!H60/'Historical FS'!H$65,0)</f>
        <v>0.168628255503534</v>
      </c>
      <c r="I38" s="26">
        <f>IFERROR('Historical FS'!I60/'Historical FS'!I$65,0)</f>
        <v>0.17987046211053581</v>
      </c>
      <c r="J38" s="26">
        <f>IFERROR('Historical FS'!J60/'Historical FS'!J$65,0)</f>
        <v>0.16350916715522709</v>
      </c>
      <c r="K38" s="26">
        <f>IFERROR('Historical FS'!K60/'Historical FS'!K$65,0)</f>
        <v>0.14210556658238688</v>
      </c>
      <c r="L38" s="26">
        <f>IFERROR('Historical FS'!L60/'Historical FS'!L$65,0)</f>
        <v>0.1292572877059569</v>
      </c>
      <c r="N38" s="27"/>
    </row>
    <row r="39" spans="2:14" x14ac:dyDescent="0.3">
      <c r="B39" s="25" t="str">
        <f>'Historical FS'!B61</f>
        <v>Inventory</v>
      </c>
      <c r="C39" s="26">
        <f>IFERROR('Historical FS'!C61/'Historical FS'!C$65,0)</f>
        <v>0.21176136762113279</v>
      </c>
      <c r="D39" s="26">
        <f>IFERROR('Historical FS'!D61/'Historical FS'!D$65,0)</f>
        <v>0.19314228668912223</v>
      </c>
      <c r="E39" s="26">
        <f>IFERROR('Historical FS'!E61/'Historical FS'!E$65,0)</f>
        <v>0.19385137646748937</v>
      </c>
      <c r="F39" s="26">
        <f>IFERROR('Historical FS'!F61/'Historical FS'!F$65,0)</f>
        <v>0.2100518218834215</v>
      </c>
      <c r="G39" s="26">
        <f>IFERROR('Historical FS'!G61/'Historical FS'!G$65,0)</f>
        <v>0.18661442157193148</v>
      </c>
      <c r="H39" s="26">
        <f>IFERROR('Historical FS'!H61/'Historical FS'!H$65,0)</f>
        <v>0.26800525994155522</v>
      </c>
      <c r="I39" s="26">
        <f>IFERROR('Historical FS'!I61/'Historical FS'!I$65,0)</f>
        <v>0.24091549314896857</v>
      </c>
      <c r="J39" s="26">
        <f>IFERROR('Historical FS'!J61/'Historical FS'!J$65,0)</f>
        <v>0.19810225622952182</v>
      </c>
      <c r="K39" s="26">
        <f>IFERROR('Historical FS'!K61/'Historical FS'!K$65,0)</f>
        <v>0.22135446092521063</v>
      </c>
      <c r="L39" s="26">
        <f>IFERROR('Historical FS'!L61/'Historical FS'!L$65,0)</f>
        <v>0.16639333695455366</v>
      </c>
    </row>
    <row r="40" spans="2:14" x14ac:dyDescent="0.3">
      <c r="B40" s="25" t="str">
        <f>'Historical FS'!B62</f>
        <v>Cash &amp; Bank</v>
      </c>
      <c r="C40" s="26">
        <f>IFERROR('Historical FS'!C62/'Historical FS'!C$65,0)</f>
        <v>6.4586677027921383E-2</v>
      </c>
      <c r="D40" s="26">
        <f>IFERROR('Historical FS'!D62/'Historical FS'!D$65,0)</f>
        <v>2.9400267955488002E-2</v>
      </c>
      <c r="E40" s="26">
        <f>IFERROR('Historical FS'!E62/'Historical FS'!E$65,0)</f>
        <v>2.7379185221837375E-2</v>
      </c>
      <c r="F40" s="26">
        <f>IFERROR('Historical FS'!F62/'Historical FS'!F$65,0)</f>
        <v>4.8508579455780375E-2</v>
      </c>
      <c r="G40" s="26">
        <f>IFERROR('Historical FS'!G62/'Historical FS'!G$65,0)</f>
        <v>3.0004411618769326E-2</v>
      </c>
      <c r="H40" s="26">
        <f>IFERROR('Historical FS'!H62/'Historical FS'!H$65,0)</f>
        <v>3.7647609178850648E-2</v>
      </c>
      <c r="I40" s="26">
        <f>IFERROR('Historical FS'!I62/'Historical FS'!I$65,0)</f>
        <v>3.2732425551788971E-2</v>
      </c>
      <c r="J40" s="26">
        <f>IFERROR('Historical FS'!J62/'Historical FS'!J$65,0)</f>
        <v>3.6253581429508332E-2</v>
      </c>
      <c r="K40" s="26">
        <f>IFERROR('Historical FS'!K62/'Historical FS'!K$65,0)</f>
        <v>2.576094744731142E-2</v>
      </c>
      <c r="L40" s="26">
        <f>IFERROR('Historical FS'!L62/'Historical FS'!L$65,0)</f>
        <v>3.110425493391273E-2</v>
      </c>
    </row>
    <row r="41" spans="2:14" x14ac:dyDescent="0.3">
      <c r="B41" s="25" t="str">
        <f>'Historical FS'!B63</f>
        <v>Total Current Assets</v>
      </c>
      <c r="C41" s="26">
        <f>IFERROR('Historical FS'!C63/'Historical FS'!C$65,0)</f>
        <v>0.39296052700522932</v>
      </c>
      <c r="D41" s="26">
        <f>IFERROR('Historical FS'!D63/'Historical FS'!D$65,0)</f>
        <v>0.34828328300691397</v>
      </c>
      <c r="E41" s="26">
        <f>IFERROR('Historical FS'!E63/'Historical FS'!E$65,0)</f>
        <v>0.33861309484246266</v>
      </c>
      <c r="F41" s="26">
        <f>IFERROR('Historical FS'!F63/'Historical FS'!F$65,0)</f>
        <v>0.36980239769933881</v>
      </c>
      <c r="G41" s="26">
        <f>IFERROR('Historical FS'!G63/'Historical FS'!G$65,0)</f>
        <v>0.34445604937082852</v>
      </c>
      <c r="H41" s="26">
        <f>IFERROR('Historical FS'!H63/'Historical FS'!H$65,0)</f>
        <v>0.4742811246239399</v>
      </c>
      <c r="I41" s="26">
        <f>IFERROR('Historical FS'!I63/'Historical FS'!I$65,0)</f>
        <v>0.45351838081129336</v>
      </c>
      <c r="J41" s="26">
        <f>IFERROR('Historical FS'!J63/'Historical FS'!J$65,0)</f>
        <v>0.39786500481425724</v>
      </c>
      <c r="K41" s="26">
        <f>IFERROR('Historical FS'!K63/'Historical FS'!K$65,0)</f>
        <v>0.38922097495490893</v>
      </c>
      <c r="L41" s="26">
        <f>IFERROR('Historical FS'!L63/'Historical FS'!L$65,0)</f>
        <v>0.32675487959442334</v>
      </c>
    </row>
    <row r="42" spans="2:14" x14ac:dyDescent="0.3">
      <c r="B42" s="25"/>
    </row>
    <row r="43" spans="2:14" x14ac:dyDescent="0.3">
      <c r="B43" s="57" t="str">
        <f>'Historical FS'!B65</f>
        <v>Total Assets</v>
      </c>
      <c r="C43" s="58">
        <f>'Historical FS'!C65/'Historical FS'!C65</f>
        <v>1</v>
      </c>
      <c r="D43" s="58">
        <f>'Historical FS'!D65/'Historical FS'!D65</f>
        <v>1</v>
      </c>
      <c r="E43" s="58">
        <f>'Historical FS'!E65/'Historical FS'!E65</f>
        <v>1</v>
      </c>
      <c r="F43" s="58">
        <f>'Historical FS'!F65/'Historical FS'!F65</f>
        <v>1</v>
      </c>
      <c r="G43" s="58">
        <f>'Historical FS'!G65/'Historical FS'!G65</f>
        <v>1</v>
      </c>
      <c r="H43" s="58">
        <f>'Historical FS'!H65/'Historical FS'!H65</f>
        <v>1</v>
      </c>
      <c r="I43" s="58">
        <f>'Historical FS'!I65/'Historical FS'!I65</f>
        <v>1</v>
      </c>
      <c r="J43" s="58">
        <f>'Historical FS'!J65/'Historical FS'!J65</f>
        <v>1</v>
      </c>
      <c r="K43" s="58">
        <f>'Historical FS'!K65/'Historical FS'!K65</f>
        <v>1</v>
      </c>
      <c r="L43" s="58">
        <f>'Historical FS'!L65/'Historical FS'!L65</f>
        <v>1</v>
      </c>
    </row>
    <row r="44" spans="2:14" x14ac:dyDescent="0.3">
      <c r="B44" s="25"/>
    </row>
    <row r="45" spans="2:14" x14ac:dyDescent="0.3">
      <c r="B45" s="25"/>
    </row>
    <row r="46" spans="2:14" x14ac:dyDescent="0.3">
      <c r="B46" s="25"/>
    </row>
    <row r="47" spans="2:14" x14ac:dyDescent="0.3">
      <c r="B47" s="25"/>
    </row>
    <row r="48" spans="2:14" x14ac:dyDescent="0.3">
      <c r="B48" s="25"/>
    </row>
    <row r="49" spans="2:2" x14ac:dyDescent="0.3">
      <c r="B49" s="25"/>
    </row>
    <row r="50" spans="2:2" x14ac:dyDescent="0.3">
      <c r="B50" s="25"/>
    </row>
    <row r="51" spans="2:2" x14ac:dyDescent="0.3">
      <c r="B51" s="25"/>
    </row>
    <row r="52" spans="2:2" x14ac:dyDescent="0.3">
      <c r="B52" s="25"/>
    </row>
    <row r="53" spans="2:2" x14ac:dyDescent="0.3">
      <c r="B53" s="25"/>
    </row>
    <row r="54" spans="2:2" x14ac:dyDescent="0.3">
      <c r="B54" s="25"/>
    </row>
    <row r="55" spans="2:2" x14ac:dyDescent="0.3">
      <c r="B55" s="25"/>
    </row>
    <row r="56" spans="2:2" x14ac:dyDescent="0.3">
      <c r="B56" s="25"/>
    </row>
    <row r="57" spans="2:2" x14ac:dyDescent="0.3">
      <c r="B57" s="25"/>
    </row>
    <row r="58" spans="2:2" x14ac:dyDescent="0.3">
      <c r="B58" s="25"/>
    </row>
    <row r="59" spans="2:2" x14ac:dyDescent="0.3">
      <c r="B59" s="25"/>
    </row>
    <row r="60" spans="2:2" x14ac:dyDescent="0.3">
      <c r="B60" s="25"/>
    </row>
    <row r="61" spans="2:2" x14ac:dyDescent="0.3">
      <c r="B61" s="25"/>
    </row>
    <row r="62" spans="2:2" x14ac:dyDescent="0.3">
      <c r="B62" s="25"/>
    </row>
    <row r="63" spans="2:2" x14ac:dyDescent="0.3">
      <c r="B63" s="25"/>
    </row>
    <row r="64" spans="2:2" x14ac:dyDescent="0.3">
      <c r="B64" s="25"/>
    </row>
    <row r="65" spans="2:2" x14ac:dyDescent="0.3">
      <c r="B65" s="25"/>
    </row>
    <row r="66" spans="2:2" x14ac:dyDescent="0.3">
      <c r="B66" s="25"/>
    </row>
    <row r="67" spans="2:2" x14ac:dyDescent="0.3">
      <c r="B67" s="25"/>
    </row>
    <row r="68" spans="2:2" x14ac:dyDescent="0.3">
      <c r="B68" s="25"/>
    </row>
    <row r="69" spans="2:2" x14ac:dyDescent="0.3">
      <c r="B69" s="25"/>
    </row>
    <row r="70" spans="2:2" x14ac:dyDescent="0.3">
      <c r="B70" s="25"/>
    </row>
    <row r="71" spans="2:2" x14ac:dyDescent="0.3">
      <c r="B71" s="25"/>
    </row>
    <row r="72" spans="2:2" x14ac:dyDescent="0.3">
      <c r="B72" s="25"/>
    </row>
    <row r="73" spans="2:2" x14ac:dyDescent="0.3">
      <c r="B73" s="25"/>
    </row>
    <row r="74" spans="2:2" x14ac:dyDescent="0.3">
      <c r="B74" s="25"/>
    </row>
    <row r="75" spans="2:2" x14ac:dyDescent="0.3">
      <c r="B75" s="25"/>
    </row>
    <row r="76" spans="2:2" x14ac:dyDescent="0.3">
      <c r="B76" s="25"/>
    </row>
    <row r="77" spans="2:2" x14ac:dyDescent="0.3">
      <c r="B77" s="25"/>
    </row>
    <row r="78" spans="2:2" x14ac:dyDescent="0.3">
      <c r="B78" s="25"/>
    </row>
    <row r="79" spans="2:2" x14ac:dyDescent="0.3">
      <c r="B79" s="25"/>
    </row>
    <row r="80" spans="2:2" x14ac:dyDescent="0.3">
      <c r="B80" s="25"/>
    </row>
    <row r="81" spans="2:2" x14ac:dyDescent="0.3">
      <c r="B81" s="25"/>
    </row>
    <row r="82" spans="2:2" x14ac:dyDescent="0.3">
      <c r="B82" s="25"/>
    </row>
    <row r="83" spans="2:2" x14ac:dyDescent="0.3">
      <c r="B83" s="25"/>
    </row>
    <row r="84" spans="2:2" x14ac:dyDescent="0.3">
      <c r="B84" s="25"/>
    </row>
    <row r="85" spans="2:2" x14ac:dyDescent="0.3">
      <c r="B85" s="25"/>
    </row>
    <row r="86" spans="2:2" x14ac:dyDescent="0.3">
      <c r="B86" s="25"/>
    </row>
    <row r="87" spans="2:2" x14ac:dyDescent="0.3">
      <c r="B87" s="25"/>
    </row>
    <row r="88" spans="2:2" x14ac:dyDescent="0.3">
      <c r="B88" s="25"/>
    </row>
    <row r="89" spans="2:2" x14ac:dyDescent="0.3">
      <c r="B89" s="25"/>
    </row>
    <row r="90" spans="2:2" x14ac:dyDescent="0.3">
      <c r="B90" s="25"/>
    </row>
    <row r="91" spans="2:2" x14ac:dyDescent="0.3">
      <c r="B91" s="25"/>
    </row>
    <row r="92" spans="2:2" x14ac:dyDescent="0.3">
      <c r="B92" s="25"/>
    </row>
    <row r="93" spans="2:2" x14ac:dyDescent="0.3">
      <c r="B93" s="25"/>
    </row>
    <row r="94" spans="2:2" x14ac:dyDescent="0.3">
      <c r="B94" s="25"/>
    </row>
    <row r="95" spans="2:2" x14ac:dyDescent="0.3">
      <c r="B95" s="25"/>
    </row>
    <row r="96" spans="2:2" x14ac:dyDescent="0.3">
      <c r="B96" s="25"/>
    </row>
    <row r="97" spans="2:2" x14ac:dyDescent="0.3">
      <c r="B97" s="25"/>
    </row>
    <row r="98" spans="2:2" x14ac:dyDescent="0.3">
      <c r="B98" s="25"/>
    </row>
    <row r="99" spans="2:2" x14ac:dyDescent="0.3">
      <c r="B99" s="25"/>
    </row>
    <row r="100" spans="2:2" x14ac:dyDescent="0.3">
      <c r="B100" s="25"/>
    </row>
    <row r="101" spans="2:2" x14ac:dyDescent="0.3">
      <c r="B101" s="25"/>
    </row>
    <row r="102" spans="2:2" x14ac:dyDescent="0.3">
      <c r="B102" s="25"/>
    </row>
    <row r="103" spans="2:2" x14ac:dyDescent="0.3">
      <c r="B103" s="25"/>
    </row>
    <row r="104" spans="2:2" x14ac:dyDescent="0.3">
      <c r="B104" s="25"/>
    </row>
    <row r="105" spans="2:2" x14ac:dyDescent="0.3">
      <c r="B105" s="25"/>
    </row>
    <row r="106" spans="2:2" x14ac:dyDescent="0.3">
      <c r="B106" s="25"/>
    </row>
    <row r="107" spans="2:2" x14ac:dyDescent="0.3">
      <c r="B107" s="25"/>
    </row>
    <row r="108" spans="2:2" x14ac:dyDescent="0.3">
      <c r="B108" s="25"/>
    </row>
    <row r="109" spans="2:2" x14ac:dyDescent="0.3">
      <c r="B109" s="25"/>
    </row>
    <row r="110" spans="2:2" x14ac:dyDescent="0.3">
      <c r="B110" s="25"/>
    </row>
    <row r="111" spans="2:2" x14ac:dyDescent="0.3">
      <c r="B111" s="25"/>
    </row>
    <row r="112" spans="2:2" x14ac:dyDescent="0.3">
      <c r="B112" s="25"/>
    </row>
    <row r="113" spans="2:2" x14ac:dyDescent="0.3">
      <c r="B113" s="25"/>
    </row>
    <row r="114" spans="2:2" x14ac:dyDescent="0.3">
      <c r="B114" s="25"/>
    </row>
    <row r="115" spans="2:2" x14ac:dyDescent="0.3">
      <c r="B115" s="25"/>
    </row>
    <row r="116" spans="2:2" x14ac:dyDescent="0.3">
      <c r="B116" s="25"/>
    </row>
    <row r="117" spans="2:2" x14ac:dyDescent="0.3">
      <c r="B117" s="25"/>
    </row>
    <row r="118" spans="2:2" x14ac:dyDescent="0.3">
      <c r="B118" s="25"/>
    </row>
    <row r="119" spans="2:2" x14ac:dyDescent="0.3">
      <c r="B119" s="25"/>
    </row>
    <row r="120" spans="2:2" x14ac:dyDescent="0.3">
      <c r="B120" s="25"/>
    </row>
    <row r="121" spans="2:2" x14ac:dyDescent="0.3">
      <c r="B121" s="25"/>
    </row>
    <row r="122" spans="2:2" x14ac:dyDescent="0.3">
      <c r="B122" s="25"/>
    </row>
    <row r="123" spans="2:2" x14ac:dyDescent="0.3">
      <c r="B123" s="25"/>
    </row>
    <row r="124" spans="2:2" x14ac:dyDescent="0.3">
      <c r="B124" s="25"/>
    </row>
    <row r="125" spans="2:2" x14ac:dyDescent="0.3">
      <c r="B125" s="25"/>
    </row>
    <row r="126" spans="2:2" x14ac:dyDescent="0.3">
      <c r="B126" s="25"/>
    </row>
    <row r="127" spans="2:2" x14ac:dyDescent="0.3">
      <c r="B127" s="25"/>
    </row>
    <row r="128" spans="2:2" x14ac:dyDescent="0.3">
      <c r="B128" s="25"/>
    </row>
    <row r="129" spans="2:2" x14ac:dyDescent="0.3">
      <c r="B129" s="25"/>
    </row>
    <row r="130" spans="2:2" x14ac:dyDescent="0.3">
      <c r="B130" s="25"/>
    </row>
    <row r="131" spans="2:2" x14ac:dyDescent="0.3">
      <c r="B131" s="25"/>
    </row>
    <row r="132" spans="2:2" x14ac:dyDescent="0.3">
      <c r="B132" s="25"/>
    </row>
    <row r="133" spans="2:2" x14ac:dyDescent="0.3">
      <c r="B133" s="25"/>
    </row>
    <row r="134" spans="2:2" x14ac:dyDescent="0.3">
      <c r="B134" s="25"/>
    </row>
    <row r="135" spans="2:2" x14ac:dyDescent="0.3">
      <c r="B135" s="25"/>
    </row>
    <row r="136" spans="2:2" x14ac:dyDescent="0.3">
      <c r="B136" s="25"/>
    </row>
    <row r="137" spans="2:2" x14ac:dyDescent="0.3">
      <c r="B137" s="25"/>
    </row>
    <row r="138" spans="2:2" x14ac:dyDescent="0.3">
      <c r="B138" s="25"/>
    </row>
    <row r="139" spans="2:2" x14ac:dyDescent="0.3">
      <c r="B139" s="25"/>
    </row>
    <row r="140" spans="2:2" x14ac:dyDescent="0.3">
      <c r="B140" s="25"/>
    </row>
    <row r="141" spans="2:2" x14ac:dyDescent="0.3">
      <c r="B141" s="25"/>
    </row>
    <row r="142" spans="2:2" x14ac:dyDescent="0.3">
      <c r="B142" s="25"/>
    </row>
    <row r="143" spans="2:2" x14ac:dyDescent="0.3">
      <c r="B143" s="25"/>
    </row>
    <row r="144" spans="2:2" x14ac:dyDescent="0.3">
      <c r="B144" s="25"/>
    </row>
    <row r="145" spans="2:2" x14ac:dyDescent="0.3">
      <c r="B145" s="25"/>
    </row>
    <row r="146" spans="2:2" x14ac:dyDescent="0.3">
      <c r="B146" s="25"/>
    </row>
    <row r="147" spans="2:2" x14ac:dyDescent="0.3">
      <c r="B147" s="25"/>
    </row>
    <row r="148" spans="2:2" x14ac:dyDescent="0.3">
      <c r="B148" s="25"/>
    </row>
    <row r="149" spans="2:2" x14ac:dyDescent="0.3">
      <c r="B149" s="25"/>
    </row>
    <row r="150" spans="2:2" x14ac:dyDescent="0.3">
      <c r="B150" s="25"/>
    </row>
    <row r="151" spans="2:2" x14ac:dyDescent="0.3">
      <c r="B151" s="25"/>
    </row>
    <row r="152" spans="2:2" x14ac:dyDescent="0.3">
      <c r="B152" s="25"/>
    </row>
    <row r="153" spans="2:2" x14ac:dyDescent="0.3">
      <c r="B153" s="25"/>
    </row>
    <row r="154" spans="2:2" x14ac:dyDescent="0.3">
      <c r="B154" s="25"/>
    </row>
    <row r="155" spans="2:2" x14ac:dyDescent="0.3">
      <c r="B155" s="25"/>
    </row>
    <row r="156" spans="2:2" x14ac:dyDescent="0.3">
      <c r="B156" s="25"/>
    </row>
    <row r="157" spans="2:2" x14ac:dyDescent="0.3">
      <c r="B157" s="25"/>
    </row>
    <row r="158" spans="2:2" x14ac:dyDescent="0.3">
      <c r="B158" s="25"/>
    </row>
    <row r="159" spans="2:2" x14ac:dyDescent="0.3">
      <c r="B159" s="25"/>
    </row>
    <row r="160" spans="2:2" x14ac:dyDescent="0.3">
      <c r="B160" s="25"/>
    </row>
    <row r="161" spans="2:2" x14ac:dyDescent="0.3">
      <c r="B161" s="25"/>
    </row>
    <row r="162" spans="2:2" x14ac:dyDescent="0.3">
      <c r="B162" s="25"/>
    </row>
    <row r="163" spans="2:2" x14ac:dyDescent="0.3">
      <c r="B163" s="25"/>
    </row>
    <row r="164" spans="2:2" x14ac:dyDescent="0.3">
      <c r="B164" s="25"/>
    </row>
    <row r="165" spans="2:2" x14ac:dyDescent="0.3">
      <c r="B165" s="25"/>
    </row>
    <row r="166" spans="2:2" x14ac:dyDescent="0.3">
      <c r="B166" s="25"/>
    </row>
    <row r="167" spans="2:2" x14ac:dyDescent="0.3">
      <c r="B167" s="25"/>
    </row>
    <row r="168" spans="2:2" x14ac:dyDescent="0.3">
      <c r="B168" s="25"/>
    </row>
    <row r="169" spans="2:2" x14ac:dyDescent="0.3">
      <c r="B169" s="25"/>
    </row>
    <row r="170" spans="2:2" x14ac:dyDescent="0.3">
      <c r="B170" s="25"/>
    </row>
    <row r="171" spans="2:2" x14ac:dyDescent="0.3">
      <c r="B171" s="25"/>
    </row>
    <row r="172" spans="2:2" x14ac:dyDescent="0.3">
      <c r="B172" s="25"/>
    </row>
    <row r="173" spans="2:2" x14ac:dyDescent="0.3">
      <c r="B173" s="25"/>
    </row>
    <row r="174" spans="2:2" x14ac:dyDescent="0.3">
      <c r="B174" s="25"/>
    </row>
    <row r="175" spans="2:2" x14ac:dyDescent="0.3">
      <c r="B175" s="25"/>
    </row>
    <row r="176" spans="2:2" x14ac:dyDescent="0.3">
      <c r="B176" s="25"/>
    </row>
    <row r="177" spans="2:2" x14ac:dyDescent="0.3">
      <c r="B177" s="25"/>
    </row>
    <row r="178" spans="2:2" x14ac:dyDescent="0.3">
      <c r="B178" s="25"/>
    </row>
    <row r="179" spans="2:2" x14ac:dyDescent="0.3">
      <c r="B179" s="25"/>
    </row>
    <row r="180" spans="2:2" x14ac:dyDescent="0.3">
      <c r="B180" s="25"/>
    </row>
    <row r="181" spans="2:2" x14ac:dyDescent="0.3">
      <c r="B181" s="25"/>
    </row>
    <row r="182" spans="2:2" x14ac:dyDescent="0.3">
      <c r="B182" s="25"/>
    </row>
    <row r="183" spans="2:2" x14ac:dyDescent="0.3">
      <c r="B183" s="25"/>
    </row>
    <row r="184" spans="2:2" x14ac:dyDescent="0.3">
      <c r="B184" s="25"/>
    </row>
    <row r="185" spans="2:2" x14ac:dyDescent="0.3">
      <c r="B185" s="25"/>
    </row>
    <row r="186" spans="2:2" x14ac:dyDescent="0.3">
      <c r="B186" s="25"/>
    </row>
    <row r="187" spans="2:2" x14ac:dyDescent="0.3">
      <c r="B187" s="25"/>
    </row>
    <row r="188" spans="2:2" x14ac:dyDescent="0.3">
      <c r="B188" s="25"/>
    </row>
    <row r="189" spans="2:2" x14ac:dyDescent="0.3">
      <c r="B189" s="25"/>
    </row>
    <row r="190" spans="2:2" x14ac:dyDescent="0.3">
      <c r="B190" s="25"/>
    </row>
    <row r="191" spans="2:2" x14ac:dyDescent="0.3">
      <c r="B191" s="25"/>
    </row>
    <row r="192" spans="2:2" x14ac:dyDescent="0.3">
      <c r="B192" s="25"/>
    </row>
    <row r="193" spans="2:2" x14ac:dyDescent="0.3">
      <c r="B193" s="25"/>
    </row>
    <row r="194" spans="2:2" x14ac:dyDescent="0.3">
      <c r="B194" s="25"/>
    </row>
    <row r="195" spans="2:2" x14ac:dyDescent="0.3">
      <c r="B195" s="25"/>
    </row>
    <row r="196" spans="2:2" x14ac:dyDescent="0.3">
      <c r="B196" s="25"/>
    </row>
    <row r="197" spans="2:2" x14ac:dyDescent="0.3">
      <c r="B197" s="25"/>
    </row>
    <row r="198" spans="2:2" x14ac:dyDescent="0.3">
      <c r="B198" s="25"/>
    </row>
    <row r="199" spans="2:2" x14ac:dyDescent="0.3">
      <c r="B199" s="25"/>
    </row>
    <row r="200" spans="2:2" x14ac:dyDescent="0.3">
      <c r="B200" s="25"/>
    </row>
    <row r="201" spans="2:2" x14ac:dyDescent="0.3">
      <c r="B201" s="25"/>
    </row>
    <row r="202" spans="2:2" x14ac:dyDescent="0.3">
      <c r="B202" s="25"/>
    </row>
    <row r="203" spans="2:2" x14ac:dyDescent="0.3">
      <c r="B203" s="25"/>
    </row>
    <row r="204" spans="2:2" x14ac:dyDescent="0.3">
      <c r="B204" s="25"/>
    </row>
    <row r="205" spans="2:2" x14ac:dyDescent="0.3">
      <c r="B205" s="25"/>
    </row>
    <row r="206" spans="2:2" x14ac:dyDescent="0.3">
      <c r="B206" s="25"/>
    </row>
    <row r="207" spans="2:2" x14ac:dyDescent="0.3">
      <c r="B207" s="25"/>
    </row>
    <row r="208" spans="2:2" x14ac:dyDescent="0.3">
      <c r="B208" s="25"/>
    </row>
    <row r="209" spans="2:2" x14ac:dyDescent="0.3">
      <c r="B209" s="25"/>
    </row>
    <row r="210" spans="2:2" x14ac:dyDescent="0.3">
      <c r="B210" s="25"/>
    </row>
    <row r="211" spans="2:2" x14ac:dyDescent="0.3">
      <c r="B211" s="25"/>
    </row>
    <row r="212" spans="2:2" x14ac:dyDescent="0.3">
      <c r="B212" s="25"/>
    </row>
    <row r="213" spans="2:2" x14ac:dyDescent="0.3">
      <c r="B213" s="25"/>
    </row>
    <row r="214" spans="2:2" x14ac:dyDescent="0.3">
      <c r="B214" s="25"/>
    </row>
    <row r="215" spans="2:2" x14ac:dyDescent="0.3">
      <c r="B215" s="25"/>
    </row>
    <row r="216" spans="2:2" x14ac:dyDescent="0.3">
      <c r="B216" s="25"/>
    </row>
    <row r="217" spans="2:2" x14ac:dyDescent="0.3">
      <c r="B217" s="25"/>
    </row>
    <row r="218" spans="2:2" x14ac:dyDescent="0.3">
      <c r="B218" s="25"/>
    </row>
    <row r="219" spans="2:2" x14ac:dyDescent="0.3">
      <c r="B219" s="25"/>
    </row>
    <row r="220" spans="2:2" x14ac:dyDescent="0.3">
      <c r="B220" s="25"/>
    </row>
    <row r="221" spans="2:2" x14ac:dyDescent="0.3">
      <c r="B221" s="25"/>
    </row>
    <row r="222" spans="2:2" x14ac:dyDescent="0.3">
      <c r="B222" s="25"/>
    </row>
    <row r="223" spans="2:2" x14ac:dyDescent="0.3">
      <c r="B223" s="25"/>
    </row>
    <row r="224" spans="2:2" x14ac:dyDescent="0.3">
      <c r="B224" s="25"/>
    </row>
    <row r="225" spans="2:2" x14ac:dyDescent="0.3">
      <c r="B225" s="25"/>
    </row>
    <row r="226" spans="2:2" x14ac:dyDescent="0.3">
      <c r="B226" s="25"/>
    </row>
    <row r="227" spans="2:2" x14ac:dyDescent="0.3">
      <c r="B227" s="25"/>
    </row>
    <row r="228" spans="2:2" x14ac:dyDescent="0.3">
      <c r="B228" s="25"/>
    </row>
    <row r="229" spans="2:2" x14ac:dyDescent="0.3">
      <c r="B229" s="25"/>
    </row>
    <row r="230" spans="2:2" x14ac:dyDescent="0.3">
      <c r="B230" s="25"/>
    </row>
    <row r="231" spans="2:2" x14ac:dyDescent="0.3">
      <c r="B231" s="25"/>
    </row>
    <row r="232" spans="2:2" x14ac:dyDescent="0.3">
      <c r="B232" s="25"/>
    </row>
    <row r="233" spans="2:2" x14ac:dyDescent="0.3">
      <c r="B233" s="25"/>
    </row>
    <row r="234" spans="2:2" x14ac:dyDescent="0.3">
      <c r="B234" s="25"/>
    </row>
    <row r="235" spans="2:2" x14ac:dyDescent="0.3">
      <c r="B235" s="25"/>
    </row>
    <row r="236" spans="2:2" x14ac:dyDescent="0.3">
      <c r="B236" s="25"/>
    </row>
    <row r="237" spans="2:2" x14ac:dyDescent="0.3">
      <c r="B237" s="25"/>
    </row>
    <row r="238" spans="2:2" x14ac:dyDescent="0.3">
      <c r="B238" s="25"/>
    </row>
    <row r="239" spans="2:2" x14ac:dyDescent="0.3">
      <c r="B239" s="25"/>
    </row>
    <row r="240" spans="2:2" x14ac:dyDescent="0.3">
      <c r="B240" s="25"/>
    </row>
    <row r="241" spans="2:2" x14ac:dyDescent="0.3">
      <c r="B241" s="25"/>
    </row>
    <row r="242" spans="2:2" x14ac:dyDescent="0.3">
      <c r="B242" s="25"/>
    </row>
    <row r="243" spans="2:2" x14ac:dyDescent="0.3">
      <c r="B243" s="25"/>
    </row>
    <row r="244" spans="2:2" x14ac:dyDescent="0.3">
      <c r="B244" s="25"/>
    </row>
    <row r="245" spans="2:2" x14ac:dyDescent="0.3">
      <c r="B245" s="25"/>
    </row>
    <row r="246" spans="2:2" x14ac:dyDescent="0.3">
      <c r="B246" s="25"/>
    </row>
    <row r="247" spans="2:2" x14ac:dyDescent="0.3">
      <c r="B247" s="25"/>
    </row>
  </sheetData>
  <mergeCells count="2">
    <mergeCell ref="B2:L2"/>
    <mergeCell ref="B22:L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EAAC-C2CD-43DF-AA45-E1602108613A}">
  <dimension ref="A2:U25"/>
  <sheetViews>
    <sheetView showGridLines="0" workbookViewId="0">
      <selection activeCell="D4" sqref="D4:D13"/>
    </sheetView>
  </sheetViews>
  <sheetFormatPr defaultRowHeight="14.4" x14ac:dyDescent="0.3"/>
  <cols>
    <col min="1" max="1" width="1.88671875" style="60" customWidth="1"/>
    <col min="2" max="2" width="11.109375" bestFit="1" customWidth="1"/>
    <col min="3" max="3" width="7" bestFit="1" customWidth="1"/>
    <col min="4" max="4" width="7.5546875" bestFit="1" customWidth="1"/>
    <col min="5" max="5" width="11.88671875" bestFit="1" customWidth="1"/>
    <col min="6" max="6" width="2.77734375" customWidth="1"/>
    <col min="7" max="7" width="11.109375" bestFit="1" customWidth="1"/>
    <col min="8" max="8" width="7" bestFit="1" customWidth="1"/>
    <col min="9" max="9" width="7.5546875" bestFit="1" customWidth="1"/>
    <col min="10" max="10" width="13.88671875" bestFit="1" customWidth="1"/>
    <col min="11" max="11" width="2.77734375" customWidth="1"/>
    <col min="12" max="12" width="11.109375" bestFit="1" customWidth="1"/>
    <col min="13" max="14" width="8.109375" bestFit="1" customWidth="1"/>
    <col min="15" max="15" width="13.88671875" bestFit="1" customWidth="1"/>
  </cols>
  <sheetData>
    <row r="2" spans="2:21" x14ac:dyDescent="0.3">
      <c r="B2" s="77" t="str">
        <f>'Data Sheet'!B1&amp;" - "&amp;"Sales Forecasting"</f>
        <v>ASIAN PAINTS LTD - Sales Forecasting</v>
      </c>
      <c r="C2" s="77"/>
      <c r="D2" s="77"/>
      <c r="E2" s="77"/>
      <c r="G2" s="77" t="str">
        <f>'Data Sheet'!B1&amp;" - "&amp;"EBITDA Forecasting"</f>
        <v>ASIAN PAINTS LTD - EBITDA Forecasting</v>
      </c>
      <c r="H2" s="77"/>
      <c r="I2" s="77"/>
      <c r="J2" s="77"/>
      <c r="L2" s="77" t="str">
        <f>'Data Sheet'!B1&amp;" - "&amp;"EPS Forecasting"</f>
        <v>ASIAN PAINTS LTD - EPS Forecasting</v>
      </c>
      <c r="M2" s="77"/>
      <c r="N2" s="77"/>
      <c r="O2" s="77"/>
    </row>
    <row r="3" spans="2:21" x14ac:dyDescent="0.3">
      <c r="B3" s="4" t="s">
        <v>117</v>
      </c>
      <c r="C3" s="62" t="s">
        <v>116</v>
      </c>
      <c r="D3" s="62" t="s">
        <v>12</v>
      </c>
      <c r="E3" s="62" t="s">
        <v>55</v>
      </c>
      <c r="G3" s="4" t="s">
        <v>117</v>
      </c>
      <c r="H3" s="62" t="s">
        <v>116</v>
      </c>
      <c r="I3" s="62" t="s">
        <v>61</v>
      </c>
      <c r="J3" s="62" t="s">
        <v>83</v>
      </c>
      <c r="L3" s="4" t="s">
        <v>117</v>
      </c>
      <c r="M3" s="62" t="s">
        <v>116</v>
      </c>
      <c r="N3" s="62" t="s">
        <v>118</v>
      </c>
      <c r="O3" s="62" t="s">
        <v>119</v>
      </c>
    </row>
    <row r="4" spans="2:21" x14ac:dyDescent="0.3">
      <c r="B4" s="33">
        <v>1</v>
      </c>
      <c r="C4" s="66">
        <f>'Historical FS'!C3</f>
        <v>42825</v>
      </c>
      <c r="D4" s="63">
        <v>15061.99</v>
      </c>
      <c r="E4" s="49" t="s">
        <v>113</v>
      </c>
      <c r="G4" s="33">
        <v>1</v>
      </c>
      <c r="H4" s="66">
        <f>'Historical FS'!C3</f>
        <v>42825</v>
      </c>
      <c r="I4" s="63">
        <v>2993.76</v>
      </c>
      <c r="J4" s="49" t="s">
        <v>113</v>
      </c>
      <c r="L4" s="33">
        <v>1</v>
      </c>
      <c r="M4" s="66">
        <f>'Historical FS'!C3</f>
        <v>42825</v>
      </c>
      <c r="N4" s="63">
        <v>20.219245204336946</v>
      </c>
      <c r="O4" s="49" t="s">
        <v>113</v>
      </c>
    </row>
    <row r="5" spans="2:21" x14ac:dyDescent="0.3">
      <c r="B5" s="33">
        <f>B4+1</f>
        <v>2</v>
      </c>
      <c r="C5" s="66">
        <f>C4+365</f>
        <v>43190</v>
      </c>
      <c r="D5" s="63">
        <v>16824.55</v>
      </c>
      <c r="E5" s="64">
        <f t="shared" ref="E5:E18" si="0">D5/D4-1</f>
        <v>0.11702039371955486</v>
      </c>
      <c r="G5" s="33">
        <f>G4+1</f>
        <v>2</v>
      </c>
      <c r="H5" s="66">
        <f>H4+365</f>
        <v>43190</v>
      </c>
      <c r="I5" s="63">
        <v>3204.0100000000011</v>
      </c>
      <c r="J5" s="64">
        <f t="shared" ref="J5:J18" si="1">I5/I4-1</f>
        <v>7.0229410507188561E-2</v>
      </c>
      <c r="L5" s="33">
        <f>L4+1</f>
        <v>2</v>
      </c>
      <c r="M5" s="66">
        <f>M4+365</f>
        <v>43190</v>
      </c>
      <c r="N5" s="63">
        <v>21.256567973311093</v>
      </c>
      <c r="O5" s="64">
        <f t="shared" ref="O5:O18" si="2">N5/N4-1</f>
        <v>5.130373357120388E-2</v>
      </c>
      <c r="P5" s="61"/>
      <c r="Q5" s="61"/>
      <c r="R5" s="61"/>
      <c r="S5" s="61"/>
      <c r="T5" s="61"/>
      <c r="U5" s="61"/>
    </row>
    <row r="6" spans="2:21" x14ac:dyDescent="0.3">
      <c r="B6" s="33">
        <f t="shared" ref="B6:B18" si="3">B5+1</f>
        <v>3</v>
      </c>
      <c r="C6" s="66">
        <f t="shared" ref="C6:C18" si="4">C5+365</f>
        <v>43555</v>
      </c>
      <c r="D6" s="63">
        <v>19240.13</v>
      </c>
      <c r="E6" s="64">
        <f t="shared" si="0"/>
        <v>0.14357471670861943</v>
      </c>
      <c r="G6" s="33">
        <f t="shared" ref="G6:G18" si="5">G5+1</f>
        <v>3</v>
      </c>
      <c r="H6" s="66">
        <f t="shared" ref="H6:H18" si="6">H5+365</f>
        <v>43555</v>
      </c>
      <c r="I6" s="63">
        <v>3764.9400000000014</v>
      </c>
      <c r="J6" s="64">
        <f t="shared" si="1"/>
        <v>0.17507123885381137</v>
      </c>
      <c r="L6" s="33">
        <f t="shared" ref="L6:L18" si="7">L5+1</f>
        <v>3</v>
      </c>
      <c r="M6" s="66">
        <f t="shared" ref="M6:M18" si="8">M5+365</f>
        <v>43555</v>
      </c>
      <c r="N6" s="63">
        <v>22.476230191826524</v>
      </c>
      <c r="O6" s="64">
        <f t="shared" si="2"/>
        <v>5.7378134609819886E-2</v>
      </c>
    </row>
    <row r="7" spans="2:21" x14ac:dyDescent="0.3">
      <c r="B7" s="33">
        <f t="shared" si="3"/>
        <v>4</v>
      </c>
      <c r="C7" s="66">
        <f t="shared" si="4"/>
        <v>43920</v>
      </c>
      <c r="D7" s="63">
        <v>20211.25</v>
      </c>
      <c r="E7" s="64">
        <f t="shared" si="0"/>
        <v>5.0473671435691925E-2</v>
      </c>
      <c r="G7" s="33">
        <f t="shared" si="5"/>
        <v>4</v>
      </c>
      <c r="H7" s="66">
        <f t="shared" si="6"/>
        <v>43920</v>
      </c>
      <c r="I7" s="63">
        <v>4161.7699999999977</v>
      </c>
      <c r="J7" s="64">
        <f t="shared" si="1"/>
        <v>0.10540141409955961</v>
      </c>
      <c r="L7" s="33">
        <f t="shared" si="7"/>
        <v>4</v>
      </c>
      <c r="M7" s="66">
        <f t="shared" si="8"/>
        <v>43920</v>
      </c>
      <c r="N7" s="63">
        <v>28.202356130108424</v>
      </c>
      <c r="O7" s="64">
        <f t="shared" si="2"/>
        <v>0.25476362759286042</v>
      </c>
    </row>
    <row r="8" spans="2:21" x14ac:dyDescent="0.3">
      <c r="B8" s="33">
        <f t="shared" si="3"/>
        <v>5</v>
      </c>
      <c r="C8" s="66">
        <f t="shared" si="4"/>
        <v>44285</v>
      </c>
      <c r="D8" s="63">
        <v>21712.79</v>
      </c>
      <c r="E8" s="64">
        <f t="shared" si="0"/>
        <v>7.4292287711052118E-2</v>
      </c>
      <c r="G8" s="33">
        <f t="shared" si="5"/>
        <v>5</v>
      </c>
      <c r="H8" s="66">
        <f t="shared" si="6"/>
        <v>44285</v>
      </c>
      <c r="I8" s="63">
        <v>4855.6000000000031</v>
      </c>
      <c r="J8" s="64">
        <f t="shared" si="1"/>
        <v>0.16671512361327179</v>
      </c>
      <c r="L8" s="33">
        <f t="shared" si="7"/>
        <v>5</v>
      </c>
      <c r="M8" s="66">
        <f t="shared" si="8"/>
        <v>44285</v>
      </c>
      <c r="N8" s="63">
        <v>32.728211009174309</v>
      </c>
      <c r="O8" s="64">
        <f t="shared" si="2"/>
        <v>0.16047789972534066</v>
      </c>
    </row>
    <row r="9" spans="2:21" x14ac:dyDescent="0.3">
      <c r="B9" s="33">
        <f t="shared" si="3"/>
        <v>6</v>
      </c>
      <c r="C9" s="66">
        <f t="shared" si="4"/>
        <v>44650</v>
      </c>
      <c r="D9" s="63">
        <v>29101.279999999999</v>
      </c>
      <c r="E9" s="64">
        <f t="shared" si="0"/>
        <v>0.34028284711453471</v>
      </c>
      <c r="G9" s="33">
        <f t="shared" si="5"/>
        <v>6</v>
      </c>
      <c r="H9" s="66">
        <f t="shared" si="6"/>
        <v>44650</v>
      </c>
      <c r="I9" s="63">
        <v>4803.6099999999988</v>
      </c>
      <c r="J9" s="64">
        <f t="shared" si="1"/>
        <v>-1.0707224647830249E-2</v>
      </c>
      <c r="L9" s="33">
        <f t="shared" si="7"/>
        <v>6</v>
      </c>
      <c r="M9" s="66">
        <f t="shared" si="8"/>
        <v>44650</v>
      </c>
      <c r="N9" s="63">
        <v>31.594766472060051</v>
      </c>
      <c r="O9" s="64">
        <f t="shared" si="2"/>
        <v>-3.4632034632034459E-2</v>
      </c>
    </row>
    <row r="10" spans="2:21" x14ac:dyDescent="0.3">
      <c r="B10" s="33">
        <f t="shared" si="3"/>
        <v>7</v>
      </c>
      <c r="C10" s="66">
        <f t="shared" si="4"/>
        <v>45015</v>
      </c>
      <c r="D10" s="63">
        <v>34488.589999999997</v>
      </c>
      <c r="E10" s="64">
        <f t="shared" si="0"/>
        <v>0.18512278497715551</v>
      </c>
      <c r="G10" s="33">
        <f t="shared" si="5"/>
        <v>7</v>
      </c>
      <c r="H10" s="66">
        <f t="shared" si="6"/>
        <v>45015</v>
      </c>
      <c r="I10" s="63">
        <v>6259.8399999999956</v>
      </c>
      <c r="J10" s="64">
        <f t="shared" si="1"/>
        <v>0.3031532534906034</v>
      </c>
      <c r="L10" s="33">
        <f t="shared" si="7"/>
        <v>7</v>
      </c>
      <c r="M10" s="66">
        <f t="shared" si="8"/>
        <v>45015</v>
      </c>
      <c r="N10" s="63">
        <v>42.811196830692239</v>
      </c>
      <c r="O10" s="64">
        <f t="shared" si="2"/>
        <v>0.35500912369620208</v>
      </c>
    </row>
    <row r="11" spans="2:21" x14ac:dyDescent="0.3">
      <c r="B11" s="33">
        <f t="shared" si="3"/>
        <v>8</v>
      </c>
      <c r="C11" s="66">
        <f t="shared" si="4"/>
        <v>45380</v>
      </c>
      <c r="D11" s="63">
        <v>35494.730000000003</v>
      </c>
      <c r="E11" s="64">
        <f t="shared" si="0"/>
        <v>2.9173126532572313E-2</v>
      </c>
      <c r="G11" s="33">
        <f t="shared" si="5"/>
        <v>8</v>
      </c>
      <c r="H11" s="66">
        <f t="shared" si="6"/>
        <v>45380</v>
      </c>
      <c r="I11" s="63">
        <v>7584.9800000000014</v>
      </c>
      <c r="J11" s="64">
        <f t="shared" si="1"/>
        <v>0.21168911665473988</v>
      </c>
      <c r="L11" s="33">
        <f t="shared" si="7"/>
        <v>8</v>
      </c>
      <c r="M11" s="66">
        <f t="shared" si="8"/>
        <v>45380</v>
      </c>
      <c r="N11" s="63">
        <v>56.924833194328599</v>
      </c>
      <c r="O11" s="64">
        <f t="shared" si="2"/>
        <v>0.32967161416795521</v>
      </c>
    </row>
    <row r="12" spans="2:21" x14ac:dyDescent="0.3">
      <c r="B12" s="33">
        <f t="shared" si="3"/>
        <v>9</v>
      </c>
      <c r="C12" s="66">
        <f t="shared" si="4"/>
        <v>45745</v>
      </c>
      <c r="D12" s="63">
        <v>33905.620000000003</v>
      </c>
      <c r="E12" s="64">
        <f t="shared" si="0"/>
        <v>-4.4770308155605121E-2</v>
      </c>
      <c r="G12" s="33">
        <f t="shared" si="5"/>
        <v>9</v>
      </c>
      <c r="H12" s="66">
        <f t="shared" si="6"/>
        <v>45745</v>
      </c>
      <c r="I12" s="63">
        <v>6006.2100000000019</v>
      </c>
      <c r="J12" s="64">
        <f t="shared" si="1"/>
        <v>-0.20814425351154509</v>
      </c>
      <c r="L12" s="33">
        <f t="shared" si="7"/>
        <v>9</v>
      </c>
      <c r="M12" s="66">
        <f t="shared" si="8"/>
        <v>45745</v>
      </c>
      <c r="N12" s="63">
        <v>38.232172643869895</v>
      </c>
      <c r="O12" s="64">
        <f t="shared" si="2"/>
        <v>-0.32837444576510499</v>
      </c>
    </row>
    <row r="13" spans="2:21" x14ac:dyDescent="0.3">
      <c r="B13" s="33">
        <f t="shared" si="3"/>
        <v>10</v>
      </c>
      <c r="C13" s="66">
        <f t="shared" si="4"/>
        <v>46110</v>
      </c>
      <c r="D13" s="63">
        <v>35583.54</v>
      </c>
      <c r="E13" s="64">
        <f t="shared" si="0"/>
        <v>4.9487960992897317E-2</v>
      </c>
      <c r="G13" s="33">
        <f t="shared" si="5"/>
        <v>10</v>
      </c>
      <c r="H13" s="66">
        <f t="shared" si="6"/>
        <v>46110</v>
      </c>
      <c r="I13" s="63">
        <v>6699.7300000000041</v>
      </c>
      <c r="J13" s="64">
        <f t="shared" si="1"/>
        <v>0.11546715815797359</v>
      </c>
      <c r="L13" s="33">
        <f t="shared" si="7"/>
        <v>10</v>
      </c>
      <c r="M13" s="66">
        <f t="shared" si="8"/>
        <v>46110</v>
      </c>
      <c r="N13" s="63">
        <v>45.093306922435367</v>
      </c>
      <c r="O13" s="64">
        <f t="shared" si="2"/>
        <v>0.17945970119136234</v>
      </c>
    </row>
    <row r="14" spans="2:21" x14ac:dyDescent="0.3">
      <c r="B14" s="67">
        <f t="shared" si="3"/>
        <v>11</v>
      </c>
      <c r="C14" s="68">
        <f t="shared" si="4"/>
        <v>46475</v>
      </c>
      <c r="D14" s="69">
        <f t="shared" ref="D14:D18" si="9">FORECAST(B14,$D$4:$D$13,$B$4:$B$13)</f>
        <v>40687.612000000001</v>
      </c>
      <c r="E14" s="70">
        <f t="shared" si="0"/>
        <v>0.14343912944018489</v>
      </c>
      <c r="G14" s="67">
        <f t="shared" si="5"/>
        <v>11</v>
      </c>
      <c r="H14" s="68">
        <f t="shared" si="6"/>
        <v>46475</v>
      </c>
      <c r="I14" s="69">
        <f>FORECAST(G14,$I$4:$I$13,$G$4:$G$13)</f>
        <v>7643.8300000000017</v>
      </c>
      <c r="J14" s="70">
        <f t="shared" si="1"/>
        <v>0.14091612647076768</v>
      </c>
      <c r="L14" s="67">
        <f t="shared" si="7"/>
        <v>11</v>
      </c>
      <c r="M14" s="68">
        <f t="shared" si="8"/>
        <v>46475</v>
      </c>
      <c r="N14" s="69">
        <f t="shared" ref="N14:N18" si="10">FORECAST(L14,$N$4:$N$13,$L$4:$L$13)</f>
        <v>52.541618015012503</v>
      </c>
      <c r="O14" s="70">
        <f t="shared" si="2"/>
        <v>0.16517553492780901</v>
      </c>
    </row>
    <row r="15" spans="2:21" x14ac:dyDescent="0.3">
      <c r="B15" s="67">
        <f t="shared" si="3"/>
        <v>12</v>
      </c>
      <c r="C15" s="68">
        <f t="shared" si="4"/>
        <v>46840</v>
      </c>
      <c r="D15" s="69">
        <f t="shared" si="9"/>
        <v>43328.551090909095</v>
      </c>
      <c r="E15" s="70">
        <f t="shared" si="0"/>
        <v>6.4907694531423754E-2</v>
      </c>
      <c r="G15" s="67">
        <f t="shared" si="5"/>
        <v>12</v>
      </c>
      <c r="H15" s="68">
        <f t="shared" si="6"/>
        <v>46840</v>
      </c>
      <c r="I15" s="69">
        <f t="shared" ref="I15:I18" si="11">FORECAST(G15,$I$4:$I$13,$G$4:$G$13)</f>
        <v>8118.4454545454555</v>
      </c>
      <c r="J15" s="70">
        <f t="shared" si="1"/>
        <v>6.209131476569385E-2</v>
      </c>
      <c r="L15" s="67">
        <f t="shared" si="7"/>
        <v>12</v>
      </c>
      <c r="M15" s="68">
        <f t="shared" si="8"/>
        <v>46840</v>
      </c>
      <c r="N15" s="69">
        <f t="shared" si="10"/>
        <v>55.92120517097581</v>
      </c>
      <c r="O15" s="70">
        <f t="shared" si="2"/>
        <v>6.4322099007260602E-2</v>
      </c>
    </row>
    <row r="16" spans="2:21" x14ac:dyDescent="0.3">
      <c r="B16" s="67">
        <f t="shared" si="3"/>
        <v>13</v>
      </c>
      <c r="C16" s="68">
        <f t="shared" si="4"/>
        <v>47205</v>
      </c>
      <c r="D16" s="69">
        <f t="shared" si="9"/>
        <v>45969.490181818182</v>
      </c>
      <c r="E16" s="70">
        <f t="shared" si="0"/>
        <v>6.0951474822410923E-2</v>
      </c>
      <c r="G16" s="67">
        <f t="shared" si="5"/>
        <v>13</v>
      </c>
      <c r="H16" s="68">
        <f t="shared" si="6"/>
        <v>47205</v>
      </c>
      <c r="I16" s="69">
        <f t="shared" si="11"/>
        <v>8593.0609090909111</v>
      </c>
      <c r="J16" s="70">
        <f t="shared" si="1"/>
        <v>5.8461371355241765E-2</v>
      </c>
      <c r="L16" s="67">
        <f t="shared" si="7"/>
        <v>13</v>
      </c>
      <c r="M16" s="68">
        <f t="shared" si="8"/>
        <v>47205</v>
      </c>
      <c r="N16" s="69">
        <f t="shared" si="10"/>
        <v>59.300792326939117</v>
      </c>
      <c r="O16" s="70">
        <f t="shared" si="2"/>
        <v>6.043480546655644E-2</v>
      </c>
    </row>
    <row r="17" spans="2:20" x14ac:dyDescent="0.3">
      <c r="B17" s="67">
        <f t="shared" si="3"/>
        <v>14</v>
      </c>
      <c r="C17" s="68">
        <f t="shared" si="4"/>
        <v>47570</v>
      </c>
      <c r="D17" s="69">
        <f t="shared" si="9"/>
        <v>48610.429272727277</v>
      </c>
      <c r="E17" s="70">
        <f t="shared" si="0"/>
        <v>5.7449823360312902E-2</v>
      </c>
      <c r="G17" s="67">
        <f t="shared" si="5"/>
        <v>14</v>
      </c>
      <c r="H17" s="68">
        <f t="shared" si="6"/>
        <v>47570</v>
      </c>
      <c r="I17" s="69">
        <f t="shared" si="11"/>
        <v>9067.6763636363648</v>
      </c>
      <c r="J17" s="70">
        <f t="shared" si="1"/>
        <v>5.5232408982850423E-2</v>
      </c>
      <c r="L17" s="67">
        <f t="shared" si="7"/>
        <v>14</v>
      </c>
      <c r="M17" s="68">
        <f t="shared" si="8"/>
        <v>47570</v>
      </c>
      <c r="N17" s="69">
        <f t="shared" si="10"/>
        <v>62.68037948290241</v>
      </c>
      <c r="O17" s="70">
        <f t="shared" si="2"/>
        <v>5.6990590232434579E-2</v>
      </c>
    </row>
    <row r="18" spans="2:20" x14ac:dyDescent="0.3">
      <c r="B18" s="67">
        <f t="shared" si="3"/>
        <v>15</v>
      </c>
      <c r="C18" s="68">
        <f t="shared" si="4"/>
        <v>47935</v>
      </c>
      <c r="D18" s="69">
        <f t="shared" si="9"/>
        <v>51251.368363636364</v>
      </c>
      <c r="E18" s="70">
        <f t="shared" si="0"/>
        <v>5.4328651904968384E-2</v>
      </c>
      <c r="G18" s="67">
        <f t="shared" si="5"/>
        <v>15</v>
      </c>
      <c r="H18" s="68">
        <f t="shared" si="6"/>
        <v>47935</v>
      </c>
      <c r="I18" s="69">
        <f t="shared" si="11"/>
        <v>9542.2918181818204</v>
      </c>
      <c r="J18" s="70">
        <f t="shared" si="1"/>
        <v>5.2341463845002378E-2</v>
      </c>
      <c r="L18" s="67">
        <f t="shared" si="7"/>
        <v>15</v>
      </c>
      <c r="M18" s="68">
        <f t="shared" si="8"/>
        <v>47935</v>
      </c>
      <c r="N18" s="69">
        <f t="shared" si="10"/>
        <v>66.059966638865717</v>
      </c>
      <c r="O18" s="70">
        <f t="shared" si="2"/>
        <v>5.3917783903736138E-2</v>
      </c>
    </row>
    <row r="19" spans="2:20" x14ac:dyDescent="0.3">
      <c r="D19" s="65"/>
    </row>
    <row r="23" spans="2:20" x14ac:dyDescent="0.3"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2:20" x14ac:dyDescent="0.3"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</row>
    <row r="25" spans="2:20" x14ac:dyDescent="0.3"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Sheet</vt:lpstr>
      <vt:lpstr>Data&gt;</vt:lpstr>
      <vt:lpstr>Historical FS</vt:lpstr>
      <vt:lpstr>Ratio analysis</vt:lpstr>
      <vt:lpstr>Common Size Statement</vt:lpstr>
      <vt:lpstr>5 Year Forecasting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pj.priyajain13@gmail.com</dc:creator>
  <cp:lastModifiedBy>pj.priyajain13@gmail.com</cp:lastModifiedBy>
  <cp:lastPrinted>2026-09-26T14:11:31Z</cp:lastPrinted>
  <dcterms:created xsi:type="dcterms:W3CDTF">2026-09-26T13:45:37Z</dcterms:created>
  <dcterms:modified xsi:type="dcterms:W3CDTF">2026-09-28T15:44:34Z</dcterms:modified>
</cp:coreProperties>
</file>